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RC\Desktop\Holpie MS MS IDnonator\"/>
    </mc:Choice>
  </mc:AlternateContent>
  <xr:revisionPtr revIDLastSave="0" documentId="13_ncr:1_{D982AA19-A2B1-4451-A77A-366B92F66B3F}" xr6:coauthVersionLast="47" xr6:coauthVersionMax="47" xr10:uidLastSave="{00000000-0000-0000-0000-000000000000}"/>
  <bookViews>
    <workbookView xWindow="-96" yWindow="-96" windowWidth="23232" windowHeight="12552" xr2:uid="{EA8D1482-06FD-4C77-987F-C9FC0C708B99}"/>
  </bookViews>
  <sheets>
    <sheet name="492 lipids MSDial format" sheetId="1" r:id="rId1"/>
    <sheet name="182 Holpie manuscript SI format" sheetId="2" r:id="rId2"/>
  </sheets>
  <definedNames>
    <definedName name="_xlnm._FilterDatabase" localSheetId="0" hidden="1">'492 lipids MSDial format'!$D$1:$D$511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E1" i="2" l="1"/>
  <c r="E226" i="2"/>
  <c r="E127" i="2"/>
  <c r="E107" i="2"/>
  <c r="E75" i="2"/>
  <c r="E39" i="2"/>
  <c r="E21" i="2"/>
  <c r="J225" i="2"/>
  <c r="G225" i="2"/>
  <c r="J224" i="2"/>
  <c r="G224" i="2"/>
  <c r="J223" i="2"/>
  <c r="G223" i="2"/>
  <c r="J222" i="2"/>
  <c r="G222" i="2"/>
  <c r="J221" i="2"/>
  <c r="G221" i="2"/>
  <c r="J220" i="2"/>
  <c r="G220" i="2"/>
  <c r="J219" i="2"/>
  <c r="G219" i="2"/>
  <c r="J218" i="2"/>
  <c r="G218" i="2"/>
  <c r="J217" i="2"/>
  <c r="G217" i="2"/>
  <c r="J216" i="2"/>
  <c r="G216" i="2"/>
  <c r="J215" i="2"/>
  <c r="G215" i="2"/>
  <c r="J214" i="2"/>
  <c r="G214" i="2"/>
  <c r="J213" i="2"/>
  <c r="G213" i="2"/>
  <c r="J212" i="2"/>
  <c r="G212" i="2"/>
  <c r="J211" i="2"/>
  <c r="G211" i="2"/>
  <c r="J210" i="2"/>
  <c r="G210" i="2"/>
  <c r="J209" i="2"/>
  <c r="G209" i="2"/>
  <c r="J208" i="2"/>
  <c r="G208" i="2"/>
  <c r="J207" i="2"/>
  <c r="G207" i="2"/>
  <c r="J206" i="2"/>
  <c r="G206" i="2"/>
  <c r="J205" i="2"/>
  <c r="G205" i="2"/>
  <c r="J204" i="2"/>
  <c r="G204" i="2"/>
  <c r="J203" i="2"/>
  <c r="G203" i="2"/>
  <c r="J202" i="2"/>
  <c r="G202" i="2"/>
  <c r="J201" i="2"/>
  <c r="G201" i="2"/>
  <c r="J200" i="2"/>
  <c r="G200" i="2"/>
  <c r="J199" i="2"/>
  <c r="G199" i="2"/>
  <c r="J198" i="2"/>
  <c r="G198" i="2"/>
  <c r="J197" i="2"/>
  <c r="G197" i="2"/>
  <c r="J196" i="2"/>
  <c r="G196" i="2"/>
  <c r="J195" i="2"/>
  <c r="G195" i="2"/>
  <c r="J194" i="2"/>
  <c r="G194" i="2"/>
  <c r="J193" i="2"/>
  <c r="G193" i="2"/>
  <c r="J192" i="2"/>
  <c r="G192" i="2"/>
  <c r="J191" i="2"/>
  <c r="G191" i="2"/>
  <c r="J190" i="2"/>
  <c r="G190" i="2"/>
  <c r="J189" i="2"/>
  <c r="G189" i="2"/>
  <c r="J188" i="2"/>
  <c r="G188" i="2"/>
  <c r="J187" i="2"/>
  <c r="G187" i="2"/>
  <c r="J186" i="2"/>
  <c r="G186" i="2"/>
  <c r="J185" i="2"/>
  <c r="G185" i="2"/>
  <c r="J184" i="2"/>
  <c r="G184" i="2"/>
  <c r="J183" i="2"/>
  <c r="G183" i="2"/>
  <c r="J182" i="2"/>
  <c r="G182" i="2"/>
  <c r="J181" i="2"/>
  <c r="G181" i="2"/>
  <c r="J180" i="2"/>
  <c r="G180" i="2"/>
  <c r="J179" i="2"/>
  <c r="G179" i="2"/>
  <c r="J178" i="2"/>
  <c r="G178" i="2"/>
  <c r="J177" i="2"/>
  <c r="G177" i="2"/>
  <c r="J176" i="2"/>
  <c r="G176" i="2"/>
  <c r="J175" i="2"/>
  <c r="G175" i="2"/>
  <c r="J174" i="2"/>
  <c r="G174" i="2"/>
  <c r="J173" i="2"/>
  <c r="G173" i="2"/>
  <c r="J172" i="2"/>
  <c r="G172" i="2"/>
  <c r="J171" i="2"/>
  <c r="G171" i="2"/>
  <c r="J170" i="2"/>
  <c r="G170" i="2"/>
  <c r="J169" i="2"/>
  <c r="G169" i="2"/>
  <c r="J168" i="2"/>
  <c r="G168" i="2"/>
  <c r="J167" i="2"/>
  <c r="G167" i="2"/>
  <c r="J166" i="2"/>
  <c r="G166" i="2"/>
  <c r="J165" i="2"/>
  <c r="G165" i="2"/>
  <c r="J164" i="2"/>
  <c r="G164" i="2"/>
  <c r="J163" i="2"/>
  <c r="G163" i="2"/>
  <c r="J162" i="2"/>
  <c r="G162" i="2"/>
  <c r="J161" i="2"/>
  <c r="G161" i="2"/>
  <c r="J160" i="2"/>
  <c r="G160" i="2"/>
  <c r="J159" i="2"/>
  <c r="G159" i="2"/>
  <c r="J158" i="2"/>
  <c r="G158" i="2"/>
  <c r="J157" i="2"/>
  <c r="G157" i="2"/>
  <c r="J156" i="2"/>
  <c r="G156" i="2"/>
  <c r="J155" i="2"/>
  <c r="G155" i="2"/>
  <c r="J154" i="2"/>
  <c r="G154" i="2"/>
  <c r="J153" i="2"/>
  <c r="G153" i="2"/>
  <c r="J152" i="2"/>
  <c r="G152" i="2"/>
  <c r="J151" i="2"/>
  <c r="G151" i="2"/>
  <c r="J150" i="2"/>
  <c r="G150" i="2"/>
  <c r="J149" i="2"/>
  <c r="G149" i="2"/>
  <c r="J148" i="2"/>
  <c r="G148" i="2"/>
  <c r="J147" i="2"/>
  <c r="G147" i="2"/>
  <c r="J146" i="2"/>
  <c r="G146" i="2"/>
  <c r="J145" i="2"/>
  <c r="G145" i="2"/>
  <c r="J144" i="2"/>
  <c r="G144" i="2"/>
  <c r="J143" i="2"/>
  <c r="G143" i="2"/>
  <c r="J142" i="2"/>
  <c r="G142" i="2"/>
  <c r="J141" i="2"/>
  <c r="G141" i="2"/>
  <c r="J140" i="2"/>
  <c r="G140" i="2"/>
  <c r="J139" i="2"/>
  <c r="G139" i="2"/>
  <c r="J138" i="2"/>
  <c r="G138" i="2"/>
  <c r="J137" i="2"/>
  <c r="G137" i="2"/>
  <c r="J136" i="2"/>
  <c r="G136" i="2"/>
  <c r="J135" i="2"/>
  <c r="G135" i="2"/>
  <c r="J134" i="2"/>
  <c r="G134" i="2"/>
  <c r="J133" i="2"/>
  <c r="G133" i="2"/>
  <c r="J132" i="2"/>
  <c r="G132" i="2"/>
  <c r="G126" i="2"/>
  <c r="G125" i="2"/>
  <c r="G124" i="2"/>
  <c r="G123" i="2"/>
  <c r="G122" i="2"/>
  <c r="G121" i="2"/>
  <c r="G120" i="2"/>
  <c r="G119" i="2"/>
  <c r="G118" i="2"/>
  <c r="G117" i="2"/>
  <c r="G116" i="2"/>
  <c r="G115" i="2"/>
  <c r="G114" i="2"/>
  <c r="J106" i="2"/>
  <c r="G106" i="2"/>
  <c r="J105" i="2"/>
  <c r="G105" i="2"/>
  <c r="J104" i="2"/>
  <c r="G104" i="2"/>
  <c r="J103" i="2"/>
  <c r="G103" i="2"/>
  <c r="J102" i="2"/>
  <c r="G102" i="2"/>
  <c r="J101" i="2"/>
  <c r="G101" i="2"/>
  <c r="J100" i="2"/>
  <c r="G100" i="2"/>
  <c r="J99" i="2"/>
  <c r="G99" i="2"/>
  <c r="J98" i="2"/>
  <c r="G98" i="2"/>
  <c r="J97" i="2"/>
  <c r="G97" i="2"/>
  <c r="J96" i="2"/>
  <c r="G96" i="2"/>
  <c r="J95" i="2"/>
  <c r="G95" i="2"/>
  <c r="J94" i="2"/>
  <c r="G94" i="2"/>
  <c r="J93" i="2"/>
  <c r="G93" i="2"/>
  <c r="J92" i="2"/>
  <c r="G92" i="2"/>
  <c r="J91" i="2"/>
  <c r="G91" i="2"/>
  <c r="J90" i="2"/>
  <c r="G90" i="2"/>
  <c r="J89" i="2"/>
  <c r="G89" i="2"/>
  <c r="J88" i="2"/>
  <c r="G88" i="2"/>
  <c r="J87" i="2"/>
  <c r="G87" i="2"/>
  <c r="J86" i="2"/>
  <c r="G86" i="2"/>
  <c r="J85" i="2"/>
  <c r="G85" i="2"/>
  <c r="J84" i="2"/>
  <c r="G84" i="2"/>
  <c r="J83" i="2"/>
  <c r="G83" i="2"/>
  <c r="J82" i="2"/>
  <c r="G82" i="2"/>
  <c r="J81" i="2"/>
  <c r="G81" i="2"/>
  <c r="J80" i="2"/>
  <c r="G80" i="2"/>
  <c r="G74" i="2"/>
  <c r="G73" i="2"/>
  <c r="G72" i="2"/>
  <c r="G71" i="2"/>
  <c r="G70" i="2"/>
  <c r="G69" i="2"/>
  <c r="G68" i="2"/>
  <c r="G67" i="2"/>
  <c r="G66" i="2"/>
  <c r="G65" i="2"/>
  <c r="G64" i="2"/>
  <c r="G63" i="2"/>
  <c r="G62" i="2"/>
  <c r="G61" i="2"/>
  <c r="G60" i="2"/>
  <c r="G59" i="2"/>
  <c r="G58" i="2"/>
  <c r="G57" i="2"/>
  <c r="G56" i="2"/>
  <c r="G55" i="2"/>
  <c r="J48" i="2"/>
  <c r="G48" i="2"/>
  <c r="J47" i="2"/>
  <c r="G47" i="2"/>
  <c r="J46" i="2"/>
  <c r="G46" i="2"/>
  <c r="J45" i="2"/>
  <c r="G45" i="2"/>
  <c r="G38" i="2"/>
  <c r="G37" i="2"/>
  <c r="G36" i="2"/>
  <c r="G35" i="2"/>
  <c r="G34" i="2"/>
  <c r="G33" i="2"/>
  <c r="G32" i="2"/>
  <c r="G31" i="2"/>
  <c r="G30" i="2"/>
  <c r="G29" i="2"/>
  <c r="G20" i="2"/>
  <c r="G19" i="2"/>
  <c r="G18" i="2"/>
  <c r="G17" i="2"/>
  <c r="G16" i="2"/>
  <c r="G15" i="2"/>
  <c r="G14" i="2"/>
  <c r="G13" i="2"/>
  <c r="G12" i="2"/>
  <c r="G11" i="2"/>
  <c r="G10" i="2"/>
  <c r="G9" i="2"/>
  <c r="G8" i="2"/>
  <c r="G7" i="2"/>
</calcChain>
</file>

<file path=xl/sharedStrings.xml><?xml version="1.0" encoding="utf-8"?>
<sst xmlns="http://schemas.openxmlformats.org/spreadsheetml/2006/main" count="5753" uniqueCount="2626">
  <si>
    <t>Cer 36:1;O2|Cer 18:1;O2/18:0</t>
  </si>
  <si>
    <t>[M+HCOO]-</t>
  </si>
  <si>
    <t>null</t>
  </si>
  <si>
    <t>C36H71NO3</t>
  </si>
  <si>
    <t>Cer_NS</t>
  </si>
  <si>
    <t>VODZWWMEJITOND-UHFFFAOYSA-N</t>
  </si>
  <si>
    <t>O=C(NC(CO)C(O)C=CCCCCCCCCCCCCC)CCCCCCCCCCCCCCCCC</t>
  </si>
  <si>
    <t>Normalized unit: Intensity; Annotation method: Msp20260116160945_NCDK_conventional_converted_dev_1</t>
  </si>
  <si>
    <t>N_Serum_8Xdil_600_700_R2</t>
  </si>
  <si>
    <t>610.54224:430690 611.54690:177133 612.55157:41151</t>
  </si>
  <si>
    <t>52.95883:476 56.60975:459 59.14301:483 61.13039:494 75.04600:479 76.14294:514 89.35873:504 91.53602:504 100.14920:538 104.15994:471 129.49605:476 130.70943:572 135.01254:460 145.40498:421 153.31145:458 154.24139:501 160.88414:550 162.24443:467 162.30206:444 170.85962:457 171.75369:502 183.18025:521 187.53610:495 192.03241:564 202.91129:487 203.58177:507 205.45898:488 213.39600:504 226.60391:16726 226.61179:5878 237.22256:1933 263.23868:1058 265.25415:2529 271.28088:570 282.28082:1227 283.26468:805 293.28516:519 308.29660:8429 320.00378:531 324.29086:1094 336.32755:2387 347.01208:807 354.39182:501 355.20999:531 355.57767:546 386.98969:749 410.97385:495 504.20526:490 516.51678:1199 519.66760:552 520.44769:474 532.51129:779 534.52728:1451 538.74115:521 548.45007:507 564.53717:17874 572.94843:481</t>
  </si>
  <si>
    <t>LPC 22:6</t>
  </si>
  <si>
    <t>C30H50NO7P</t>
  </si>
  <si>
    <t>LPC</t>
  </si>
  <si>
    <t>LSOWKZULVQWMLY-UHFFFAOYSA-N</t>
  </si>
  <si>
    <t>O=C(OCC(O)COP(=O)([O-])OCC[N+](C)(C)C)CCC=CCC=CCC=CCC=CCC=CCC=CCC</t>
  </si>
  <si>
    <t>612.33191:743250 613.33658:254563 614.34124:55093</t>
  </si>
  <si>
    <t>50.98115:464 51.72546:542 53.80341:426 53.88991:483 54.44363:419 58.24649:519 59.01376:887 59.31758:492 60.08231:423 60.64560:483 61.98825:710 62.73477:431 63.27687:501 63.92473:451 64.35314:437 69.35928:477 75.52528:464 78.00952:459 78.95895:771 79.52690:558 82.31894:472 85.54619:465 86.48197:463 86.48373:488 90.38641:537 90.56662:498 94.58755:468 101.23825:508 110.31499:546 112.98559:526 115.94711:487 116.60710:549 124.30927:623 148.91916:596 152.38121:454 152.99585:1033 161.02652:873 161.03342:752 161.05446:597 161.05913:506 161.08664:511 161.09459:482 161.10406:537 165.73045:588 168.04353:913 174.95685:467 177.16547:575 178.08180:491 203.25871:489 224.06963:660 226.60129:5358 226.60927:17012 229.19656:723 242.08031:1491 251.76080:463 283.24356:6359 289.81873:435 313.67145:469 327.22131:1101 327.23358:18797 410.54996:450 446.75696:461 520.00409:506 552.31085:11080 583.48175:521</t>
  </si>
  <si>
    <t>LPC 22:5</t>
  </si>
  <si>
    <t>C30H52NO7P</t>
  </si>
  <si>
    <t>BIEOSECQPGGZMF-UHFFFAOYSA-N</t>
  </si>
  <si>
    <t>O=C(OCC(O)COP(=O)([O-])OCC[N+](C)(C)C)CCCCCC=CCC=CCC=CCC=CCC=CCC</t>
  </si>
  <si>
    <t>N_Serum_8Xdil_600_700_R3</t>
  </si>
  <si>
    <t>614.34674:101152 615.35141:34879 616.35608:6179</t>
  </si>
  <si>
    <t>53.25018:455 61.02283:454 61.98824:732 69.07735:448 70.64953:464 82.92657:485 98.02441:451 100.27457:444 104.32662:461 116.92856:484 117.92887:704 119.03500:1657 124.31194:447 131.88080:444 135.46803:450 136.38596:464 149.93694:444 150.52449:438 161.20920:479 162.14449:465 163.70959:488 163.78786:495 163.79356:632 163.85080:505 170.42398:482 189.66409:458 213.06218:507 213.72382:567 217.82765:436 226.60364:25892 255.23357:1376 329.24893:2617 353.27612:559 480.31018:738 554.32550:2661</t>
  </si>
  <si>
    <t>LPC 22:4</t>
  </si>
  <si>
    <t>C30H54NO7P</t>
  </si>
  <si>
    <t>GXEIJYZRCDTJTE-UHFFFAOYSA-N</t>
  </si>
  <si>
    <t>O=C(OCC(O)COP(=O)([O-])OCC[N+](C)(C)C)CCCCCCCCC=CCC=CCC=CCC=CCC</t>
  </si>
  <si>
    <t>616.36188:96460 617.36655:31939 618.37121:6904</t>
  </si>
  <si>
    <t>50.91717:419 52.67450:442 52.83919:452 55.06342:480 55.15620:535 55.48986:494 56.98037:499 59.95939:533 63.85460:516 64.19579:462 65.23286:451 68.61703:424 73.40553:506 75.19814:441 78.95892:585 79.26050:499 80.82197:448 81.09936:449 86.00909:476 89.17139:621 93.66490:439 107.49710:564 116.52391:436 120.81321:441 120.99435:496 126.54636:483 132.50282:530 132.92644:485 152.99602:711 161.81442:556 161.87695:544 162.79028:472 162.84755:498 162.85217:682 171.52159:400 178.68199:442 178.68645:503 183.69670:418 206.17509:471 212.51724:516 214.22675:528 221.38927:451 224.06958:2305 226.60106:18911 226.60893:5187 242.08003:649 255.23354:1468 297.46298:457 331.26468:21016 372.13696:459 372.46872:475 556.34210:7603 569.26215:464 606.41785:434</t>
  </si>
  <si>
    <t>LPI 20:4</t>
  </si>
  <si>
    <t>[M-H]-</t>
  </si>
  <si>
    <t>C29H49O12P</t>
  </si>
  <si>
    <t>LPI</t>
  </si>
  <si>
    <t>BAWAZBRKENFJED-UHFFFAOYSA-N</t>
  </si>
  <si>
    <t>O=C(OCC(O)COP(=O)(O)OC1C(O)C(O)C(O)C(O)C1O)CCCCCCC=CCC=CCC=CCC=CCC</t>
  </si>
  <si>
    <t>619.28949:133089 620.29416:41812 621.29883:10474</t>
  </si>
  <si>
    <t>50.25348:489 53.51366:431 54.66496:512 56.66407:466 57.82441:461 59.01374:964 62.28273:483 63.03385:459 67.21248:535 72.71941:481 78.95895:3891 83.44031:637 96.96959:1089 102.62164:467 107.62360:501 110.54146:503 112.98557:579 118.76926:493 121.02953:590 123.85065:491 134.03748:1021 136.89467:1999 152.99600:15186 159.89984:609 159.93460:531 159.96812:564 160.00085:717 166.38171:510 182.90048:984 203.22902:461 204.79182:481 223.76671:459 226.60254:11423 226.61060:12100 241.01216:12868 259.24335:1259 277.14462:1153 303.23343:20609 314.03845:471 315.04901:4740 323.23520:1169 327.00766:482 334.29752:485 338.11786:455 340.90784:514 395.01401:771 409.27963:537 439.22763:2173 471.25259:3039 563.04749:513 619.29089:24281</t>
  </si>
  <si>
    <t>Cer 40:1;O2|Cer 18:1;O2/22:0</t>
  </si>
  <si>
    <t>C40H79NO3</t>
  </si>
  <si>
    <t>KEPQASGDXIEOIL-UHFFFAOYSA-N</t>
  </si>
  <si>
    <t>O=C(NC(CO)C(O)C=CCCCCCCCCCCCCC)CCCCCCCCCCCCCCCCCCCCC</t>
  </si>
  <si>
    <t>620.59937:245584 621.60403:102581 622.60870:22168</t>
  </si>
  <si>
    <t>50.23819:462 50.66410:438 51.36501:445 56.95490:457 58.41294:483 60.68621:576 61.01736:537 61.67942:493 69.03442:880 73.20724:498 73.33033:468 80.02663:827 80.14718:448 80.36859:521 83.91988:449 94.24583:454 98.27206:517 100.85420:694 112.98564:989 125.68307:526 147.53339:507 150.71223:518 160.10463:506 160.17719:756 160.22485:687 160.23665:533 166.88423:508 197.00360:655 199.62929:458 209.19145:3582 215.93597:437 223.20705:948 226.60666:25959 235.20708:2235 237.22270:14173 249.22272:609 250.25426:829 263.23843:7885 266.24963:1692 268.26495:2679 281.24899:611 298.27490:711 313.51675:565 321.31683:13040 334.25180:555 335.33249:901 337.34808:1931 338.34338:9992 339.32724:4831 349.34866:2323 352.35873:726 354.91260:546 364.35907:47240 366.37518:1788 367.35883:1011 378.37500:1436 380.35394:5236 392.39072:12029 408.38580:1243 495.49878:505 572.57886:4982 588.57251:3646 590.58917:5854 602.66797:590 615.01221:484 620.59985:40039</t>
  </si>
  <si>
    <t>N_Serum_4Xdil_600_700_R5</t>
  </si>
  <si>
    <t>620.59979:35869 621.60446:15219 622.60913:3772</t>
  </si>
  <si>
    <t>52.14072:449 55.51028:564 55.68567:479 56.38902:440 56.89367:479 63.10836:453 69.82643:559 72.52056:488 72.62590:458 74.59850:505 82.47501:468 82.61518:433 85.43665:441 88.79432:441 90.55833:467 90.75888:438 94.10216:506 97.08882:432 97.79774:496 98.56896:474 102.95675:522 108.89639:478 112.98558:2292 132.62120:448 151.32915:552 161.23875:592 161.24649:465 161.33275:475 161.34576:709 161.36278:646 161.37476:577 161.38580:583 161.39618:604 161.47667:487 164.50911:474 181.50766:434 185.30309:460 226.60614:22139 237.22264:3320 263.23859:1337 276.83978:555 321.31650:2880 338.34378:1963 339.32779:844 364.35910:9099 364.37262:592 380.35507:1412 390.37531:700 406.91412:476 416.89627:495 429.75806:538 470.36621:488 492.20416:527 572.58014:1103 588.57306:619 590.58954:1325 620.60004:8579</t>
  </si>
  <si>
    <t>LPI 20:3</t>
  </si>
  <si>
    <t>C29H51O12P</t>
  </si>
  <si>
    <t>BNXYBNVTWAMAER-UHFFFAOYSA-N</t>
  </si>
  <si>
    <t>O=C(OCC(O)COP(=O)(O)OC1C(O)C(O)C(O)C(O)C1O)CCCCCCCCCC=CCC=CCC=CCC</t>
  </si>
  <si>
    <t>621.30487:31340 622.30954:9698 623.31421:1487</t>
  </si>
  <si>
    <t>55.03627:524 55.27074:420 55.59721:435 55.77502:478 57.41918:487 60.36567:551 61.98827:571 64.49319:523 67.54870:493 71.38277:521 72.52705:464 73.21690:492 77.05386:460 78.35324:610 78.95889:741 81.78516:489 87.66959:456 104.85151:540 108.25468:556 112.98571:492 143.02843:446 143.94873:540 152.99594:3654 157.51872:510 159.30083:502 160.30202:712 160.32683:477 160.34166:473 160.34943:528 160.35368:471 178.05049:454 181.41071:540 199.08812:498 212.26013:536 226.60219:10443 226.61023:10516 241.01212:2664 305.24921:6713 315.04926:791 343.00037:585 365.54300:541 379.94879:556 572.59686:542 621.30554:6721</t>
  </si>
  <si>
    <t>LPC 22:0</t>
  </si>
  <si>
    <t>C30H62NO7P</t>
  </si>
  <si>
    <t>UIINDYGXBHJQHX-UHFFFAOYSA-N</t>
  </si>
  <si>
    <t>O=C(OCC(O)COP(=O)([O-])OCC[N+](C)(C)C)CCCCCCCCCCCCCCCCCCCCC</t>
  </si>
  <si>
    <t>624.42566:35808 625.43033:11881 626.43499:2735</t>
  </si>
  <si>
    <t>53.16354:485 56.62562:436 56.98755:477 58.40834:438 58.50159:436 61.48142:485 61.80722:446 61.98835:480 67.43589:501 69.01864:445 69.45191:450 69.67992:486 76.99700:449 77.80260:423 77.81168:436 79.84601:522 83.44214:486 97.26067:477 112.98557:452 124.49578:483 124.55325:473 150.82205:466 158.97563:605 159.10323:458 162.48351:599 162.53148:477 172.63231:454 176.20000:454 177.50647:466 198.84497:516 218.31187:531 224.06985:1975 226.59979:1363 226.60614:21498 232.44972:520 242.08032:483 287.06955:567 315.01105:690 339.32736:15828 408.44101:522 433.37100:498 450.74789:520 502.49594:469 536.55457:565 543.95563:526 564.40485:7483 568.26886:637</t>
  </si>
  <si>
    <t>Cer 41:1;O2|Cer 18:1;O2/23:0</t>
  </si>
  <si>
    <t>C41H81NO3</t>
  </si>
  <si>
    <t>NAJHAHQNQCNWOP-UHFFFAOYSA-N</t>
  </si>
  <si>
    <t>O=C(NC(CO)C(O)C=CCCCCCCCCCCCCC)CCCCCCCCCCCCCCCCCCCCCC</t>
  </si>
  <si>
    <t>634.61542:223431 635.62009:100911 636.62475:22100</t>
  </si>
  <si>
    <t>51.59034:844 52.64374:818 54.56683:964 64.66212:780 65.41042:764 67.99026:831 70.19164:873 76.80298:835 79.77700:778 100.93356:1113 102.20028:798 102.97589:866 104.70478:794 111.26763:917 112.98554:1365 114.80067:905 129.55614:806 129.97601:938 141.70680:935 141.97774:871 158.97577:3569 161.35587:996 161.45258:911 161.51892:1004 164.04301:801 177.82889:905 188.57339:812 195.35352:836 198.52220:937 215.15254:844 223.20694:2470 225.65410:910 226.60294:24448 226.61087:18824 237.22275:11890 239.23865:855 263.23856:7427 264.59113:839 266.24951:2276 268.26505:1973 269.74670:905 328.62164:829 335.33258:15383 349.34842:2634 351.36331:1206 352.35895:10236 353.34323:7793 366.37460:2110 367.35785:974 378.37491:56596 392.39053:7913 394.37012:7167 408.38504:937 468.95343:877 520.10077:850 554.39978:790 586.59399:4881 602.58942:3285 604.60419:5716 634.61554:40872</t>
  </si>
  <si>
    <t>Cer 41:0;O2|Cer 18:0;O2/23:0</t>
  </si>
  <si>
    <t>C41H83NO3</t>
  </si>
  <si>
    <t>Cer_NDS</t>
  </si>
  <si>
    <t>FTSDYFFYZJTACJ-UHFFFAOYSA-N</t>
  </si>
  <si>
    <t>O=C(NC(CO)C(O)CCCCCCCCCCCCCCC)CCCCCCCCCCCCCCCCCCCCCC</t>
  </si>
  <si>
    <t>636.63165:32419 637.63632:14979 638.64099:2691</t>
  </si>
  <si>
    <t>51.72614:715 52.79742:849 59.99169:844 60.37454:688 62.25186:896 75.98756:756 82.03036:722 82.74778:804 85.43018:760 89.92745:807 90.12820:747 92.92799:1847 96.12649:665 96.16548:719 101.28893:840 102.95686:3820 103.44079:863 109.38134:843 112.98571:2919 127.51777:881 130.68823:848 131.65039:816 142.16058:833 161.34946:923 161.46808:738 191.12978:750 200.80469:769 212.93277:1760 214.38841:876 222.96205:1021 226.60168:14509 226.60979:20006 228.90359:1467 239.23875:1314 251.05334:804 255.01904:792 268.70001:891 296.89059:1550 307.22330:821 335.33295:3009 353.34341:1172 370.07858:889 378.37534:8994 582.16077:893 588.61029:1378 604.60590:1418 636.63184:9381</t>
  </si>
  <si>
    <t>Cer 42:3;O2|Cer 18:2;O2/24:1</t>
  </si>
  <si>
    <t>C42H79NO3</t>
  </si>
  <si>
    <t>RWMLFFULUMHLPQ-UHFFFAOYSA-N</t>
  </si>
  <si>
    <t>O=C(NC(CO)C(O)C=CCCC=CCCCCCCCCC)CCCCCCCCCCCCCC=CCCCCCCCC</t>
  </si>
  <si>
    <t>644.59906:62096 645.60373:26543 646.60840:6992</t>
  </si>
  <si>
    <t>50.96762:770 51.86777:780 53.68482:838 55.25491:850 56.82331:713 57.33165:824 58.69703:754 58.85923:855 61.14665:818 63.64678:849 65.61397:796 67.04411:833 78.96838:978 80.24095:764 112.00835:862 114.61427:859 115.91786:797 161.04248:1044 161.05078:1044 161.07617:975 161.14511:944 161.15533:1492 161.16995:1226 161.37953:942 187.41838:788 226.60666:43313 235.20688:4153 237.22263:1145 252.83386:802 261.22293:2934 263.23773:987 283.33499:919 298.62216:917 321.37253:821 330.24927:778 347.33270:3053 364.35916:2984 365.34372:1844 388.35928:4074 390.37497:13626 393.58276:1242 402.72739:912 404.35519:875 468.94684:833 552.16565:836 596.57703:1501 612.57458:2210 614.58923:1420 644.60022:7166</t>
  </si>
  <si>
    <t>Cer 42:2;O2|Cer 18:1;O2/24:1</t>
  </si>
  <si>
    <t>C42H81NO3</t>
  </si>
  <si>
    <t>VJSBNBBOSZJDKB-UHFFFAOYSA-N</t>
  </si>
  <si>
    <t>O=C(NC(CO)C(O)C=CCCCCCCCCCCCCC)CCCCCCCCCCCCCC=CCCCCCCCC</t>
  </si>
  <si>
    <t>646.61487:247424 647.61954:114772 648.62420:27126</t>
  </si>
  <si>
    <t>51.81117:566 53.43412:619 59.27884:527 65.36997:495 69.03445:729 85.70551:468 90.50974:541 91.25151:555 102.95683:512 106.72453:500 107.76637:503 112.98559:1218 129.36333:445 129.99983:434 136.93933:484 140.38919:477 140.67076:431 161.39931:527 164.61330:477 176.15125:488 179.63144:481 190.37094:598 195.03876:559 226.60208:10215 226.61009:15549 235.20757:892 237.22258:19416 239.23819:1045 250.25407:1050 263.23840:11888 266.24933:1630 268.26498:2138 300.60184:574 321.12619:554 340.20032:485 347.33246:14054 364.35901:12187 365.34320:8614 390.37500:70604 406.37027:8212 442.12219:542 568.82623:624 598.59460:5235 614.58948:4290 616.60461:5707 628.52448:959 646.61530:40732</t>
  </si>
  <si>
    <t>Cer 42:1;O2|Cer 18:1;O2/24:0</t>
  </si>
  <si>
    <t>C42H83NO3</t>
  </si>
  <si>
    <t>ZJVVOYPTFQEGPH-UHFFFAOYSA-N</t>
  </si>
  <si>
    <t>O=C(NC(CO)C(O)C=CCCCCCCCCCCCCC)CCCCCCCCCCCCCCCCCCCCCCC</t>
  </si>
  <si>
    <t>N_Serum_40Xdil_550_650</t>
  </si>
  <si>
    <t>648.62982:82743 649.63449:30953 650.63916:0</t>
  </si>
  <si>
    <t>50.58673:587 51.35151:503 58.07483:565 62.58918:481 71.32008:507 73.70338:511 77.73505:475 83.07658:479 86.65240:447 87.86864:446 93.53430:442 94.63828:556 100.25220:585 100.93369:643 102.95673:760 104.95382:801 110.01042:532 112.98561:1067 114.96784:461 119.83035:567 121.53693:462 125.53371:482 126.40822:452 132.82014:527 141.64488:476 158.97588:1030 160.91306:482 163.06668:468 183.26036:433 226.60420:14648 226.61221:6093 237.22261:7350 240.92867:671 242.47290:471 249.68153:504 263.23865:3849 266.24945:1109 268.26498:892 272.60809:498 309.90985:529 313.45529:476 317.55951:497 345.99338:502 349.34802:6965 366.37445:5680 367.35873:3869 392.39069:30126 397.03015:556 408.38596:3587 469.05243:568 502.85428:533 600.61005:3374 616.60449:962 618.62097:2089 648.63110:18501</t>
  </si>
  <si>
    <t>Cer 42:0;O2|Cer 18:0;O2/24:0</t>
  </si>
  <si>
    <t>C42H85NO3</t>
  </si>
  <si>
    <t>BPLYVSYSBPLDOA-UHFFFAOYSA-N</t>
  </si>
  <si>
    <t>O=C(NC(CO)C(O)CCCCCCCCCCCCCCC)CCCCCCCCCCCCCCCCCCCCCCC</t>
  </si>
  <si>
    <t>650.64697:34612 651.65164:16674 652.65631:4197</t>
  </si>
  <si>
    <t>50.08551:783 65.34525:892 68.41484:843 76.24204:779 79.83565:771 80.46749:809 82.21099:749 86.82962:771 92.25909:735 100.93369:947 111.72406:886 112.98564:2186 113.61754:860 116.87437:781 156.28201:768 158.97586:1709 160.14700:808 160.23360:817 160.28989:1080 160.33272:1285 160.33684:1104 160.34593:1495 160.47409:764 169.57327:862 173.89058:814 182.10608:878 197.13071:920 208.91927:748 210.09998:896 226.60071:5037 226.60858:33973 242.94398:1093 244.79753:837 349.34875:2488 366.37521:894 392.39084:11653 408.38538:1465 481.25842:878 492.98401:904 592.26501:819 602.62579:2556 618.62030:1076 650.64734:9447</t>
  </si>
  <si>
    <t>LPC 24:0</t>
  </si>
  <si>
    <t>C32H66NO7P</t>
  </si>
  <si>
    <t>SKJMUADLQLZAGH-UHFFFAOYSA-N</t>
  </si>
  <si>
    <t>O=C(OCC(O)COP(=O)([O-])OCC[N+](C)(C)C)CCCCCCCCCCCCCCCCCCCCCCC</t>
  </si>
  <si>
    <t>652.45630:32198 653.46097:12115 654.46563:3025</t>
  </si>
  <si>
    <t>50.40293:484 56.16840:463 57.13459:626 58.47807:450 61.98819:658 66.19080:480 67.58520:483 69.32180:459 70.39701:476 72.59437:491 78.74252:548 81.15331:463 83.88000:435 84.94850:544 86.52967:538 87.70387:502 88.47535:451 91.95735:446 94.85120:450 112.98553:995 160.52306:428 161.96759:456 162.02596:554 162.10686:481 162.11421:748 162.17923:656 162.18466:719 162.20134:502 162.26479:468 170.32689:513 224.06973:1750 226.60435:19085 226.61224:4070 235.92271:495 236.36824:489 246.85934:512 321.22067:468 356.92477:522 367.35873:15639 370.45270:553 454.53586:533 458.34143:480 476.15112:490 592.43567:9931</t>
  </si>
  <si>
    <t>Cer 43:1;O2|Cer 19:1;O2/24:0</t>
  </si>
  <si>
    <t>C43H85NO3</t>
  </si>
  <si>
    <t>KSYIVRBEJSMJMX-UHFFFAOYSA-N</t>
  </si>
  <si>
    <t>O=C(NC(CO)C(O)C=CCCCCCCCCCCCCCC)CCCCCCCCCCCCCCCCCCCCCCC</t>
  </si>
  <si>
    <t>662.64661:44011 663.65127:21100 664.65594:5485</t>
  </si>
  <si>
    <t>52.72668:517 54.74656:504 59.25840:451 59.79415:450 91.98921:452 102.95679:6385 102.97572:534 111.26807:572 112.98561:5818 120.82494:598 136.90407:475 158.97580:904 161.11235:433 161.12830:569 161.16873:520 161.20471:583 161.22748:600 170.94450:638 177.64400:546 179.57962:482 180.97351:1477 187.02271:802 211.71236:673 222.96146:885 226.60667:24119 237.22279:738 238.93210:3047 243.08702:612 248.96114:1557 251.23827:4277 264.45703:506 277.25430:2977 282.28018:957 290.94934:891 306.91986:1633 315.50772:592 322.90509:1003 349.34842:3648 363.36386:550 366.37479:2407 367.35919:1597 392.39075:15871 400.36664:525 406.40704:2332 408.38593:1360 430.00668:497 494.99231:522 614.62640:1307 630.62079:1039 632.63641:1452 656.54816:510 662.64606:8557</t>
  </si>
  <si>
    <t>N_Serum_40Xdil_650_750</t>
  </si>
  <si>
    <t>666.60583:639727 667.61050:289972 668.61517:69609</t>
  </si>
  <si>
    <t>50.65676:517 51.49654:477 53.57608:442 58.63060:499 59.58331:500 60.91713:487 66.12373:485 72.06624:475 73.94020:458 75.18801:476 78.31574:479 87.66611:491 88.12358:564 95.31260:510 97.85885:530 105.04485:453 106.84737:479 110.08804:491 112.06310:434 112.98583:728 119.19739:512 138.14314:504 158.97572:597 161.20694:507 161.23091:594 161.24963:627 162.00586:462 162.29323:626 170.79451:516 172.21828:475 190.92892:1073 200.23874:565 209.19153:504 217.05133:482 226.60434:17102 226.61235:7119 229.93356:508 235.20753:500 237.22281:3495 262.32446:478 263.23825:3267 303.23401:557 321.31708:4727 326.06046:596 338.34341:3397 339.32794:2478 349.34818:1105 364.35944:16325 367.35846:838 380.35507:2082 392.39111:4308 403.84784:549 408.38611:658 528.74109:553 545.15967:647 572.57867:2353 588.57416:1862 590.59003:3658 620.60022:60114 638.78436:485</t>
  </si>
  <si>
    <t>PA 34:2|PA 16:0_18:2</t>
  </si>
  <si>
    <t>C37H69O8P</t>
  </si>
  <si>
    <t>PA</t>
  </si>
  <si>
    <t>YQMUIZXKIKXZHD-UHFFFAOYSA-N</t>
  </si>
  <si>
    <t>O=C(OCC(OC(=O)CCCCCCCC=CCC=CCCCCC)COP(=O)(O)O)CCCCCCCCCCCCCCC</t>
  </si>
  <si>
    <t>671.46570:29477 672.47037:11007 673.47503:3352</t>
  </si>
  <si>
    <t>51.29765:444 52.67303:536 53.10253:423 54.36441:540 59.49529:525 59.84100:520 60.64117:484 61.87571:622 63.59735:463 64.34977:501 64.98808:487 68.05613:522 68.49895:475 68.70483:476 70.56126:431 70.58656:442 78.47485:495 78.95892:2980 79.56360:435 81.33288:482 83.66326:501 83.85130:530 92.43800:505 93.39841:511 95.46014:456 96.96933:578 98.03477:548 107.71423:551 121.18266:533 146.98421:455 152.99591:7610 153.54060:483 162.12746:490 162.26855:442 162.29306:597 162.31731:695 162.32385:720 162.48680:488 226.60483:20673 226.61266:2756 255.23326:16717 279.23340:5964 299.21848:668 329.57291:488 338.06549:466 342.14569:536 371.75653:498 391.22675:4125 409.23727:2606 415.22775:888 430.40488:547 499.33487:516 516.30768:481 671.46765:2909</t>
  </si>
  <si>
    <t>671.46576:29165 672.47043:12070 673.47509:2905</t>
  </si>
  <si>
    <t>53.13189:899 55.45647:905 59.29076:706 62.83202:776 73.20909:850 78.95887:1941 85.39494:756 100.39078:829 100.60923:780 109.36391:771 141.37361:853 152.99588:5599 157.56540:790 160.87007:1175 160.91069:909 160.91548:1223 167.04767:876 174.86284:766 183.08107:742 183.29073:822 198.13094:824 226.59909:14403 226.60713:22104 255.23328:13023 271.15665:760 276.40512:957 279.23361:4279 337.04889:864 388.23907:905 391.22577:4097 449.41806:798 469.08258:1124 517.13617:824 627.96869:817 671.46661:2502</t>
  </si>
  <si>
    <t>PE O-32:2|PE O-16:1_16:1</t>
  </si>
  <si>
    <t>C37H72NO7P</t>
  </si>
  <si>
    <t>EtherPE</t>
  </si>
  <si>
    <t>LXPNPYVUDOMVDN-UHFFFAOYSA-N</t>
  </si>
  <si>
    <t>O=C(OC(COCCCCCCCCC=CCCCCCC)COP(=O)(O)OCCN)CCCCCCCC=CCCCCCC</t>
  </si>
  <si>
    <t>672.49725:30791 673.50192:11117 674.50659:2672</t>
  </si>
  <si>
    <t>54.29242:452 55.80181:452 59.83280:509 61.96369:448 65.93349:551 68.91060:592 71.61369:468 73.62296:430 78.80496:518 79.48896:452 94.38302:446 94.95387:483 95.10547:514 100.01188:450 105.47821:602 110.25220:479 118.29100:503 124.96951:465 127.06235:478 135.14035:486 140.01187:483 142.08505:506 142.90694:477 162.74007:601 162.77869:736 162.82994:674 162.83461:624 162.84860:511 163.49910:542 211.52721:581 216.88187:563 226.60344:19018 226.61133:6154 227.20190:2745 253.21753:14823 255.23279:1149 281.24921:1324 284.48950:552 307.18417:456 352.33606:554 436.28470:1103 442.43039:650 499.92703:510 623.78418:667 672.49719:2807 672.76129:530</t>
  </si>
  <si>
    <t>PE O-32:1|PE O-16:1_16:0</t>
  </si>
  <si>
    <t>C37H74NO7P</t>
  </si>
  <si>
    <t>ZOBVVYDBLUMXCG-UHFFFAOYSA-N</t>
  </si>
  <si>
    <t>O=C(OC(COCCCCCCCCC=CCCCCCC)COP(=O)(O)OCCN)CCCCCCCCCCCCCCC</t>
  </si>
  <si>
    <t>674.51318:40389 675.51785:15806 676.52252:3464</t>
  </si>
  <si>
    <t>52.41407:506 52.42300:468 57.22280:564 60.29464:530 65.82579:512 69.12305:420 92.93083:478 99.26949:466 111.54581:468 132.57480:468 160.86008:636 160.90147:550 160.91185:667 160.96635:550 161.05417:768 184.02684:461 190.34518:466 226.60338:14608 226.61145:7495 227.20193:2248 255.23328:27596 258.11279:564 408.14221:488 422.56549:516 436.28488:1557 467.47336:548 494.11139:472 634.78613:510 674.51630:2667</t>
  </si>
  <si>
    <t>680.62134:531110 681.62601:252127 682.63067:63282</t>
  </si>
  <si>
    <t>51.69597:447 53.51406:543 57.02018:454 59.87665:533 61.98824:719 70.36357:542 71.61157:473 71.70313:533 73.70911:472 76.92390:487 80.59274:549 83.32924:542 83.40193:494 88.00319:529 99.73263:459 105.29305:472 111.45563:578 112.98568:1104 126.72250:512 127.61559:599 129.97569:539 148.28531:496 149.11850:439 158.97595:968 163.51210:504 163.65388:588 163.68622:547 163.69130:622 163.71497:501 179.97208:673 203.50172:558 223.20724:941 226.60736:26205 230.60027:553 233.42798:495 237.22276:3807 249.22272:940 263.23840:4098 268.26492:1028 277.51663:605 289.52457:537 294.92361:565 335.33273:5020 335.75803:507 352.35916:3685 353.34293:2929 366.37494:509 378.37506:17080 392.39120:3739 394.37048:2353 401.49222:503 406.40472:602 488.61844:545 586.59521:2239 602.58966:1620 603.09863:566 604.60492:3008 634.61566:48847 657.23798:489</t>
  </si>
  <si>
    <t>PE 32:1|PE 16:0_16:1</t>
  </si>
  <si>
    <t>C37H72NO8P</t>
  </si>
  <si>
    <t>PE</t>
  </si>
  <si>
    <t>CZOSTDZGCCEZTJ-UHFFFAOYSA-N</t>
  </si>
  <si>
    <t>O=C(OCC(OC(=O)CCCCCCCC=CCCCCCC)COP(=O)(O)OCCN)CCCCCCCCCCCCCCC</t>
  </si>
  <si>
    <t>688.49194:28911 689.49661:12770 690.50128:2985</t>
  </si>
  <si>
    <t>50.55579:481 51.60869:518 53.69841:509 54.99945:505 57.95956:604 67.61551:508 70.66372:491 73.73428:498 78.56026:512 78.95889:984 84.74393:514 88.77802:487 117.10995:510 160.89372:737 160.96735:573 160.97182:569 160.99193:642 161.02748:611 161.04698:493 168.04335:1771 208.01585:475 213.59641:448 222.88438:490 226.60364:26582 227.20248:638 239.36809:506 253.21754:11675 255.23317:3728 281.24893:1513 346.10367:491 358.70999:450 452.28012:550 688.49329:1627 688.54919:1289</t>
  </si>
  <si>
    <t>692.62140:558412 693.62607:264627 694.63073:66370</t>
  </si>
  <si>
    <t>50.41770:563 51.73228:547 62.25461:490 65.22952:531 66.88558:474 70.17493:508 76.41782:465 98.29739:534 100.93381:712 112.98578:783 138.89177:509 158.97589:1388 161.48729:609 161.53032:938 161.53525:878 161.56624:533 166.31546:537 202.48901:548 220.49022:538 225.83034:610 226.60268:9433 226.61060:17768 234.43089:516 237.22304:5764 263.23883:3992 266.24948:922 268.26517:626 279.19083:503 297.28918:489 300.90317:475 345.29767:572 347.33286:4465 364.35977:4429 365.34293:3099 385.72839:502 390.37537:20643 406.37076:3091 409.00842:597 508.87323:550 598.59644:1116 614.58990:939 616.60516:2881 646.53650:1804 646.61603:49819 681.85266:593</t>
  </si>
  <si>
    <t>694.63666:1837832 695.64133:891527 696.64599:222495</t>
  </si>
  <si>
    <t>53.21717:532 55.80388:481 57.56840:567 58.13266:610 58.18132:469 60.36258:494 61.98827:826 63.10949:450 65.57836:598 69.64032:433 69.80280:429 70.92937:449 74.39591:487 79.06229:479 93.39222:545 94.58720:577 95.65382:536 97.82678:470 100.93367:1290 102.66164:483 112.98578:1073 135.72014:472 137.46202:538 139.44308:454 146.68794:486 152.46146:484 157.76701:487 158.97577:1863 160.35768:567 161.43945:501 163.01505:514 170.78331:523 192.92896:574 226.60466:19505 226.61253:6105 226.61708:1024 237.22289:10128 250.25412:565 263.23849:7211 267.99768:490 268.26508:1359 286.93872:699 298.27621:901 299.70633:499 329.66446:504 349.34833:8224 356.25806:514 359.62936:655 366.37497:6920 367.35880:4748 392.39099:34236 408.38611:4189 416.41891:624 501.33426:533 531.34387:491 600.61041:1872 616.60547:3211 618.62079:4897 648.63153:73960 672.56726:607</t>
  </si>
  <si>
    <t>PE O-34:3|PE O-16:1_18:2</t>
  </si>
  <si>
    <t>C39H74NO7P</t>
  </si>
  <si>
    <t>RIQAKBUOHSSMTC-UHFFFAOYSA-N</t>
  </si>
  <si>
    <t>O=C(OC(COCCCCCCCCC=CCCCCCC)COP(=O)(O)OCCN)CCCCCCCC=CCC=CCCCCC</t>
  </si>
  <si>
    <t>698.51422:303714 699.51889:134553 700.52356:30957</t>
  </si>
  <si>
    <t>54.49990:522 58.07426:468 59.01381:570 61.07666:445 61.98825:773 64.52724:515 66.38803:476 66.83685:530 67.60661:527 78.95899:1799 80.21571:519 82.68604:483 84.16785:456 86.04895:477 90.50216:513 93.53324:510 93.62458:471 103.14284:516 117.91918:473 140.01204:4499 149.30684:511 156.34888:615 161.29460:718 161.31311:583 161.33539:809 161.36855:574 161.54651:733 162.48445:587 174.06427:456 174.18890:526 174.98436:439 179.65213:532 182.25955:447 193.59435:482 193.92722:543 196.03841:3503 207.73880:492 218.68253:494 226.60133:2936 226.60910:26366 236.95996:443 239.23827:3110 255.23335:1691 265.01804:522 279.23361:214021 284.25662:507 314.32886:532 418.27423:8736 436.28506:17329 443.46240:589 533.06445:604 698.51459:22322</t>
  </si>
  <si>
    <t>600 to 700</t>
  </si>
  <si>
    <t>700 to 800</t>
  </si>
  <si>
    <t>PE O-34:2|PE O-16:0_18:2</t>
  </si>
  <si>
    <t>C39H76NO7P</t>
  </si>
  <si>
    <t>JHPMSVBZQKOREU-UHFFFAOYSA-N</t>
  </si>
  <si>
    <t>O=C(OC(COCCCCCCCCCCCCCCCC)COP(=O)(O)OCCN)CCCCCCCC=CCC=CCCCCC</t>
  </si>
  <si>
    <t>N_Serum_8Xdil_650_750</t>
  </si>
  <si>
    <t>700.52844:99022 701.53311:43492 702.53778:10234</t>
  </si>
  <si>
    <t>PE O-34:2|PE O-16:1_18:1</t>
  </si>
  <si>
    <t>RFPQMVKZNQOUGY-UHFFFAOYSA-N</t>
  </si>
  <si>
    <t>O=C(OC(COCCCCCCCCC=CCCCCCC)COP(=O)(O)OCCN)CCCCCCCC=CCCCCCCCC</t>
  </si>
  <si>
    <t>700.52930:718033 701.53396:309867 702.53863:74172</t>
  </si>
  <si>
    <t>PE O-34:1|PE O-18:1_16:0</t>
  </si>
  <si>
    <t>C39H78NO7P</t>
  </si>
  <si>
    <t>KJDVLWWPMOBWGU-UHFFFAOYSA-N</t>
  </si>
  <si>
    <t>O=C(OC(COCCCCCCCCC=CCCCCCCCC)COP(=O)(O)OCCN)CCCCCCCCCCCCCCC</t>
  </si>
  <si>
    <t>702.54443:75044 703.54910:29145 704.55377:8894</t>
  </si>
  <si>
    <t>N_Serum_8Xdil_700_750_R2</t>
  </si>
  <si>
    <t>702.54523:152906 703.54989:66675 704.55456:16453</t>
  </si>
  <si>
    <t>702.54517:74148 703.54983:32489 704.55450:7466</t>
  </si>
  <si>
    <t>PE O-34:0|PE O-18:0_16:0</t>
  </si>
  <si>
    <t>C39H80NO7P</t>
  </si>
  <si>
    <t>FENSRZKRANTRCP-UHFFFAOYSA-N</t>
  </si>
  <si>
    <t>O=C(OC(COCCCCCCCCCCCCCCCCCC)COP(=O)(O)OCCN)CCCCCCCCCCCCCCC</t>
  </si>
  <si>
    <t>704.56030:67160 705.56497:29095 706.56964:6917</t>
  </si>
  <si>
    <t>SM 31:1;O2|SM 18:1;O2/13:0</t>
  </si>
  <si>
    <t>C36H73N2O6P</t>
  </si>
  <si>
    <t>SM</t>
  </si>
  <si>
    <t>CANBGAIKNASUDF-UHFFFAOYSA-N</t>
  </si>
  <si>
    <t>O=C(NC(COP(=O)([O-])OCC[N+](C)(C)C)C(O)C=CCCCCCCCCCCCCC)CCCCCCCCCCCC</t>
  </si>
  <si>
    <t>705.51953:61114 706.52420:25349 707.52887:5715</t>
  </si>
  <si>
    <t>Cer 43:2;O2|Cer 19:1;O2/24:1</t>
  </si>
  <si>
    <t>C43H83NO3</t>
  </si>
  <si>
    <t>RKJOQBOCMQAIKG-UHFFFAOYSA-N</t>
  </si>
  <si>
    <t>O=C(NC(CO)C(O)C=CCCCCCCCCCCCCCC)CCCCCCCCCCCCCC=CCCCCCCCC</t>
  </si>
  <si>
    <t>706.63593:215019 707.64059:105580 708.64526:28897</t>
  </si>
  <si>
    <t>708.65173:756441 709.65640:372987 710.66107:98556</t>
  </si>
  <si>
    <t>Cer 42:1;O3|Cer 18:0;O3/24:1</t>
  </si>
  <si>
    <t>C42H83NO4</t>
  </si>
  <si>
    <t>Cer_NP</t>
  </si>
  <si>
    <t>CUWQGRNBORONBM-UHFFFAOYSA-N</t>
  </si>
  <si>
    <t>O=C(NC(CO)C(O)C(O)CCCCCCCCCCCCCC)CCCCCCCCCCCCCC=CCCCCCCCC</t>
  </si>
  <si>
    <t>710.63092:133402 711.63559:61672 712.64026:16547</t>
  </si>
  <si>
    <t>PE O-35:3|PE O-17:1_18:2</t>
  </si>
  <si>
    <t>C40H76NO7P</t>
  </si>
  <si>
    <t>ANDIJCDJHMZLND-UHFFFAOYSA-N</t>
  </si>
  <si>
    <t>O=C(OC(COCCCCCCCCC=CCCCCCCC)COP(=O)(O)OCCN)CCCCCCCC=CCC=CCCCCC</t>
  </si>
  <si>
    <t>712.52899:52825 713.53366:25464 714.53833:5522</t>
  </si>
  <si>
    <t>Cer 42:0;O3|Cer 18:0;O3/24:0</t>
  </si>
  <si>
    <t>C42H85NO4</t>
  </si>
  <si>
    <t>ZESJDNWGTANZCC-UHFFFAOYSA-N</t>
  </si>
  <si>
    <t>O=C(NC(CO)C(O)C(O)CCCCCCCCCCCCCC)CCCCCCCCCCCCCCCCCCCCCCC</t>
  </si>
  <si>
    <t>712.64655:221838 713.65121:105914 714.65588:24458</t>
  </si>
  <si>
    <t>DMPE 32:2|DMPE 14:0_18:2</t>
  </si>
  <si>
    <t>C39H74NO8P</t>
  </si>
  <si>
    <t>DMPE</t>
  </si>
  <si>
    <t>WTJQUMFHUXXGPF-UHFFFAOYSA-N</t>
  </si>
  <si>
    <t>O=C(OCC(OC(=O)CCCCCCCC=CCC=CCCCCC)COP(=O)(O)OCCN(C)C)CCCCCCCCCCCCC</t>
  </si>
  <si>
    <t>714.50830:59434 715.51297:25309 716.51764:2757</t>
  </si>
  <si>
    <t>PE 34:2|PE 16:0_18:2</t>
  </si>
  <si>
    <t>HBZNVZIRJWODIB-UHFFFAOYSA-N</t>
  </si>
  <si>
    <t>O=C(OCC(OC(=O)CCCCCCCC=CCC=CCCCCC)COP(=O)(O)OCCN)CCCCCCCCCCCCCCC</t>
  </si>
  <si>
    <t>714.50861:317361 715.51327:141097 716.51794:33276</t>
  </si>
  <si>
    <t>DMPE 32:1|DMPE 16:0_16:1</t>
  </si>
  <si>
    <t>C39H76NO8P</t>
  </si>
  <si>
    <t>OHGPMNRGCZDYQF-UHFFFAOYSA-N</t>
  </si>
  <si>
    <t>O=C(OCC(OC(=O)CCCCCCCC=CCCCCCC)COP(=O)(O)OCCN(C)C)CCCCCCCCCCCCCCC</t>
  </si>
  <si>
    <t>716.52344:120076 717.52811:55950 718.53277:12429</t>
  </si>
  <si>
    <t>PE 34:1|PE 16:0_18:1</t>
  </si>
  <si>
    <t>FHQVHHIBKUMWTI-UHFFFAOYSA-N</t>
  </si>
  <si>
    <t>O=C(OCC(OC(=O)CCCCCCCC=CCCCCCCCC)COP(=O)(O)OCCN)CCCCCCCCCCCCCCC</t>
  </si>
  <si>
    <t>716.52368:867324 717.52835:384449 718.53302:94271</t>
  </si>
  <si>
    <t>SM 32:2;O2</t>
  </si>
  <si>
    <t>C37H73N2O6P</t>
  </si>
  <si>
    <t>XMTZQLXWBURHIT-UHFFFAOYSA-N</t>
  </si>
  <si>
    <t>O=C(NC(COP(=O)([O-])OCC[N+](C)(C)C)C(O)C=CCCC=CCCC)CCCCCCCCCCCCCCCCCCC</t>
  </si>
  <si>
    <t>717.51923:219698 718.52389:94489 719.52856:23320</t>
  </si>
  <si>
    <t>DMPE 32:0|DMPE 16:0_16:0</t>
  </si>
  <si>
    <t>C39H78NO8P</t>
  </si>
  <si>
    <t>SKWDCOTXHWCSGS-UHFFFAOYSA-N</t>
  </si>
  <si>
    <t>O=C(OCC(OC(=O)CCCCCCCCCCCCCCC)COP(=O)(O)OCCN(C)C)CCCCCCCCCCCCCCC</t>
  </si>
  <si>
    <t>718.53906:334528 719.54373:149351 720.54840:33487</t>
  </si>
  <si>
    <t>PE 34:0|PE 16:0_18:0</t>
  </si>
  <si>
    <t>RPJZYOHZALDGKI-UHFFFAOYSA-N</t>
  </si>
  <si>
    <t>O=C(OCC(OC(=O)CCCCCCCCCCCCCCCCC)COP(=O)(O)OCCN)CCCCCCCCCCCCCCC</t>
  </si>
  <si>
    <t>718.53979:119991 719.54446:52412 720.54913:12292</t>
  </si>
  <si>
    <t>SM 32:1;O2|SM 16:1;O2/16:0</t>
  </si>
  <si>
    <t>C37H75N2O6P</t>
  </si>
  <si>
    <t>RPTUKVYGSPDHGQ-UHFFFAOYSA-N</t>
  </si>
  <si>
    <t>O=C(NC(COP(=O)([O-])OCC[N+](C)(C)C)C(O)C=CCCCCCCCCCCC)CCCCCCCCCCCCCCC</t>
  </si>
  <si>
    <t>719.53485:4341317 720.53952:1871129 721.54419:450948</t>
  </si>
  <si>
    <t>PE O-36:6|PE O-16:1_20:5</t>
  </si>
  <si>
    <t>C41H72NO7P</t>
  </si>
  <si>
    <t>YMKZESHNWGNAIE-UHFFFAOYSA-N</t>
  </si>
  <si>
    <t>O=C(OC(COCCCCCCCCC=CCCCCCC)COP(=O)(O)OCCN)CCCC=CCC=CCC=CCC=CCC=CCC</t>
  </si>
  <si>
    <t>720.49744:194942 721.50210:75266 722.50677:21253</t>
  </si>
  <si>
    <t>SM 32:0;O2</t>
  </si>
  <si>
    <t>C37H77N2O6P</t>
  </si>
  <si>
    <t>MCCRWVNDSLPCEX-UHFFFAOYSA-N</t>
  </si>
  <si>
    <t>O=C(NC(COP(=O)([O-])OCC[N+](C)(C)C)C(O)CCCCCCCCC)CCCCCCCCCCCCCCCCCCC</t>
  </si>
  <si>
    <t>721.55029:122567 722.55496:53746 723.55963:11784</t>
  </si>
  <si>
    <t>PE O-36:5|PE O-18:3_18:2</t>
  </si>
  <si>
    <t>C41H74NO7P</t>
  </si>
  <si>
    <t>LEHRGYNETDXIQY-UHFFFAOYSA-N</t>
  </si>
  <si>
    <t>O=C(OC(COCCCCCCCCC=CCC=CCC=CCC)COP(=O)(O)OCCN)CCCCCCCC=CCC=CCCCCC</t>
  </si>
  <si>
    <t>722.51355:55845 723.51822:28041 724.52289:5057</t>
  </si>
  <si>
    <t>PE O-36:5|PE O-16:1_20:4</t>
  </si>
  <si>
    <t>YATSYZSZUULQDZ-UHFFFAOYSA-N</t>
  </si>
  <si>
    <t>O=C(OC(COCCCCCCCCC=CCCCCCC)COP(=O)(O)OCCN)CCCCCCC=CCC=CCC=CCC=CCC</t>
  </si>
  <si>
    <t>722.51288:5343223 723.51755:2446158 724.52221:622738</t>
  </si>
  <si>
    <t>PE O-36:4|PE O-16:0_20:4</t>
  </si>
  <si>
    <t>C41H76NO7P</t>
  </si>
  <si>
    <t>KYVSHEBKXHVDDI-UHFFFAOYSA-N</t>
  </si>
  <si>
    <t>O=C(OC(COCCCCCCCCCCCCCCCC)COP(=O)(O)OCCN)CCCCCCC=CCC=CCC=CCC=CCC</t>
  </si>
  <si>
    <t>724.52832:961018 725.53299:434324 726.53766:113531</t>
  </si>
  <si>
    <t>PE O-36:3|PE O-18:1_18:2</t>
  </si>
  <si>
    <t>C41H78NO7P</t>
  </si>
  <si>
    <t>ZFMJJVQJMOVKIB-UHFFFAOYSA-N</t>
  </si>
  <si>
    <t>O=C(OC(COCCCCCCCCC=CCCCCCCCC)COP(=O)(O)OCCN)CCCCCCCC=CCC=CCCCCC</t>
  </si>
  <si>
    <t>726.54388:319144 727.54855:146900 728.55322:38601</t>
  </si>
  <si>
    <t>726.54510:617661 727.54977:283586 728.55444:72661</t>
  </si>
  <si>
    <t>PE O-36:3|PE O-16:0_20:3</t>
  </si>
  <si>
    <t>LNWJYUXFFAGZEG-UHFFFAOYSA-N</t>
  </si>
  <si>
    <t>O=C(OC(COCCCCCCCCCCCCCCCC)COP(=O)(O)OCCN)CCCCCCCCCC=CCC=CCC=CCC</t>
  </si>
  <si>
    <t>726.54443:47275 727.54910:23008 728.55377:5427</t>
  </si>
  <si>
    <t>DMPE 33:2|DMPE 15:0_18:2</t>
  </si>
  <si>
    <t>C40H76NO8P</t>
  </si>
  <si>
    <t>CTNFAVGEWRZODU-UHFFFAOYSA-N</t>
  </si>
  <si>
    <t>O=C(OCC(OC(=O)CCCCCCCC=CCC=CCCCCC)COP(=O)(O)OCCN(C)C)CCCCCCCCCCCCCC</t>
  </si>
  <si>
    <t>728.52332:52910 729.52798:25402 730.53265:3611</t>
  </si>
  <si>
    <t>PE O-36:2|PE O-18:0_18:2</t>
  </si>
  <si>
    <t>C41H80NO7P</t>
  </si>
  <si>
    <t>WQEICMLVSDZVOZ-UHFFFAOYSA-N</t>
  </si>
  <si>
    <t>O=C(OC(COCCCCCCCCCCCCCCCCCC)COP(=O)(O)OCCN)CCCCCCCC=CCC=CCCCCC</t>
  </si>
  <si>
    <t>N_Serum_4Xdil_700_750_R5</t>
  </si>
  <si>
    <t>728.56036:416500 729.56503:193636 730.56970:47411</t>
  </si>
  <si>
    <t>N_Serum_8Xdil_700_750_R3</t>
  </si>
  <si>
    <t>728.56000:109860 729.56467:50884 730.56933:12373</t>
  </si>
  <si>
    <t>PE O-36:2|PE O-18:1_18:1</t>
  </si>
  <si>
    <t>GHNXVMPBTBKJRP-UHFFFAOYSA-N</t>
  </si>
  <si>
    <t>O=C(OC(COCCCCCCCCC=CCCCCCCCC)COP(=O)(O)OCCN)CCCCCCCC=CCCCCCCCC</t>
  </si>
  <si>
    <t>728.56030:731909 729.56497:337294 730.56964:89832</t>
  </si>
  <si>
    <t>728.56018:116907 729.56485:57001 730.56952:15315</t>
  </si>
  <si>
    <t>PE O-36:1|PE O-20:1_16:0</t>
  </si>
  <si>
    <t>C41H82NO7P</t>
  </si>
  <si>
    <t>LTUOBAVOYODMSK-UHFFFAOYSA-N</t>
  </si>
  <si>
    <t>O=C(OC(COCCCCCCCCCCC=CCCCCCCCC)COP(=O)(O)OCCN)CCCCCCCCCCCCCCC</t>
  </si>
  <si>
    <t>730.57471:124165 731.57937:57403 732.58404:14108</t>
  </si>
  <si>
    <t>SM 33:2;O2</t>
  </si>
  <si>
    <t>C38H75N2O6P</t>
  </si>
  <si>
    <t>DCOVESSNVYCFLJ-UHFFFAOYSA-N</t>
  </si>
  <si>
    <t>O=C(NC(COP(=O)([O-])OCC[N+](C)(C)C)C(O)C=CCCC=CCCC)CCCCCCCCCCCCCCCCCCCC</t>
  </si>
  <si>
    <t>731.53436:49305 732.53903:20580 733.54370:4880</t>
  </si>
  <si>
    <t>SM 33:1;O2</t>
  </si>
  <si>
    <t>C38H77N2O6P</t>
  </si>
  <si>
    <t>REEYJRIAQSUMNO-UHFFFAOYSA-N</t>
  </si>
  <si>
    <t>O=C(NC(COP(=O)([O-])OCC[N+](C)(C)C)C(O)C=CCCCCCCC)CCCCCCCCCCCCCCCCCCCC</t>
  </si>
  <si>
    <t>N_Serum_4Xdil_700_750_R4</t>
  </si>
  <si>
    <t>733.54968:103129 734.55435:46374 735.55902:11746</t>
  </si>
  <si>
    <t>SM 33:1;O2|SM 17:1;O2/16:0</t>
  </si>
  <si>
    <t>RXLZIONNUYYHHW-UHFFFAOYSA-N</t>
  </si>
  <si>
    <t>O=C(NC(COP(=O)([O-])OCC[N+](C)(C)C)C(O)C=CCCCCCCCCCCCC)CCCCCCCCCCCCCCC</t>
  </si>
  <si>
    <t>733.55103:382076 734.55569:165292 735.56036:41587</t>
  </si>
  <si>
    <t>PE 36:5|PE 16:0_20:5</t>
  </si>
  <si>
    <t>C41H72NO8P</t>
  </si>
  <si>
    <t>KHLRCNXJXSYNCK-UHFFFAOYSA-N</t>
  </si>
  <si>
    <t>O=C(OCC(OC(=O)CCCC=CCC=CCC=CCC=CCC=CCC)COP(=O)(O)OCCN)CCCCCCCCCCCCCCC</t>
  </si>
  <si>
    <t>736.49237:48152 737.49704:22974 738.50171:5666</t>
  </si>
  <si>
    <t>PE O-37:5|PE O-17:1_20:4</t>
  </si>
  <si>
    <t>C42H76NO7P</t>
  </si>
  <si>
    <t>ZTNZTGXTHOFZGC-UHFFFAOYSA-N</t>
  </si>
  <si>
    <t>O=C(OC(COCCCCCCCCC=CCCCCCCC)COP(=O)(O)OCCN)CCCCCCC=CCC=CCC=CCC=CCC</t>
  </si>
  <si>
    <t>736.52863:145673 737.53329:70177 738.53796:18348</t>
  </si>
  <si>
    <t>PC O-30:0|PC O-16:0_14:0</t>
  </si>
  <si>
    <t>C38H78NO7P</t>
  </si>
  <si>
    <t>EtherPC</t>
  </si>
  <si>
    <t>WYKBXGAXGHENAM-UHFFFAOYSA-N</t>
  </si>
  <si>
    <t>O=C(OC(COCCCCCCCCCCCCCCCC)COP(=O)([O-])OCC[N+](C)(C)C)CCCCCCCCCCCCC</t>
  </si>
  <si>
    <t>736.54962:56482 737.55429:24618 738.55896:5806</t>
  </si>
  <si>
    <t>DMPE 34:4|DMPE 14:0_20:4</t>
  </si>
  <si>
    <t>C41H74NO8P</t>
  </si>
  <si>
    <t>YELYQXBONSSFMM-UHFFFAOYSA-N</t>
  </si>
  <si>
    <t>O=C(OCC(OC(=O)CCCCCCC=CCC=CCC=CCC=CCC)COP(=O)(O)OCCN(C)C)CCCCCCCCCCCCC</t>
  </si>
  <si>
    <t>738.50769:65536 739.51236:33226 740.51703:8811</t>
  </si>
  <si>
    <t>PE 36:4|PE 18:2_18:2</t>
  </si>
  <si>
    <t>SSCDRSKJTAQNNB-UHFFFAOYSA-N</t>
  </si>
  <si>
    <t>O=C(OCC(OC(=O)CCCCCCCC=CCC=CCCCCC)COP(=O)(O)OCCN)CCCCCCCC=CCC=CCCCCC</t>
  </si>
  <si>
    <t>738.50739:232445 739.51205:103498 740.51672:36654</t>
  </si>
  <si>
    <t>PE 36:4|PE 16:0_20:4</t>
  </si>
  <si>
    <t>NQIMLWFRWGTTOZ-UHFFFAOYSA-N</t>
  </si>
  <si>
    <t>O=C(OCC(OC(=O)CCCCCCC=CCC=CCC=CCC=CCC)COP(=O)(O)OCCN)CCCCCCCCCCCCCCC</t>
  </si>
  <si>
    <t>738.50806:1300928 739.51272:583607 740.51739:153774</t>
  </si>
  <si>
    <t>DMPE 34:3|DMPE 16:0_18:3</t>
  </si>
  <si>
    <t>C41H76NO8P</t>
  </si>
  <si>
    <t>LMMAZMAPLASHKV-UHFFFAOYSA-N</t>
  </si>
  <si>
    <t>O=C(OCC(OC(=O)CCCCCCCC=CCC=CCC=CCC)COP(=O)(O)OCCN(C)C)CCCCCCCCCCCCCCC</t>
  </si>
  <si>
    <t>740.52344:479983 741.52811:210010 742.53277:56806</t>
  </si>
  <si>
    <t>DMPE 34:3|DMPE 16:1_18:2</t>
  </si>
  <si>
    <t>FSIJUHLMXMISMX-UHFFFAOYSA-N</t>
  </si>
  <si>
    <t>O=C(OCC(OC(=O)CCCCCCCC=CCC=CCCCCC)COP(=O)(O)OCCN(C)C)CCCCCCCC=CCCCCCC</t>
  </si>
  <si>
    <t>740.52344:94957 741.52811:44988 742.53277:7620</t>
  </si>
  <si>
    <t>PE 36:3|PE 18:1_18:2</t>
  </si>
  <si>
    <t>GKAFCSRKMWFPSJ-UHFFFAOYSA-N</t>
  </si>
  <si>
    <t>O=C(OCC(OC(=O)CCCCCCCC=CCC=CCCCCC)COP(=O)(O)OCCN)CCCCCCCC=CCCCCCCCC</t>
  </si>
  <si>
    <t>740.52380:220054 741.52847:101220 742.53314:28764</t>
  </si>
  <si>
    <t>DMPE 34:2|DMPE 16:0_18:2</t>
  </si>
  <si>
    <t>C41H78NO8P</t>
  </si>
  <si>
    <t>BPFFRGBDZVPQDY-UHFFFAOYSA-N</t>
  </si>
  <si>
    <t>O=C(OCC(OC(=O)CCCCCCCC=CCC=CCCCCC)COP(=O)(O)OCCN(C)C)CCCCCCCCCCCCCCC</t>
  </si>
  <si>
    <t>742.53949:2351244 743.54416:1072009 744.54883:269598</t>
  </si>
  <si>
    <t>DMPE 34:2|DMPE 16:1_18:1</t>
  </si>
  <si>
    <t>IAYTZZZFSDDELX-UHFFFAOYSA-N</t>
  </si>
  <si>
    <t>O=C(OCC(OC(=O)CCCCCCCC=CCCCCCCCC)COP(=O)(O)OCCN(C)C)CCCCCCCC=CCCCCCC</t>
  </si>
  <si>
    <t>742.53882:5162760 743.54349:2342372 744.54815:613774</t>
  </si>
  <si>
    <t>PE 36:2|PE 18:1_18:1</t>
  </si>
  <si>
    <t>MWRBNPKJOOWZPW-UHFFFAOYSA-N</t>
  </si>
  <si>
    <t>O=C(OCC(OC(=O)CCCCCCCC=CCCCCCCCC)COP(=O)(O)OCCN)CCCCCCCC=CCCCCCCCC</t>
  </si>
  <si>
    <t>742.53851:732546 743.54318:335930 744.54785:97065</t>
  </si>
  <si>
    <t>DMPE 34:1|DMPE 16:0_18:1</t>
  </si>
  <si>
    <t>C41H80NO8P</t>
  </si>
  <si>
    <t>ZSVMWQMKUKDZTH-UHFFFAOYSA-N</t>
  </si>
  <si>
    <t>O=C(OCC(OC(=O)CCCCCCCC=CCCCCCCCC)COP(=O)(O)OCCN(C)C)CCCCCCCCCCCCCCC</t>
  </si>
  <si>
    <t>744.55420:3834817 745.55887:1754450 746.56353:453858</t>
  </si>
  <si>
    <t>PE 36:1|PE 18:0_18:1</t>
  </si>
  <si>
    <t>JQKOHRZNEOQNJE-UHFFFAOYSA-N</t>
  </si>
  <si>
    <t>O=C(OCC(OC(=O)CCCCCCCC=CCCCCCCCC)COP(=O)(O)OCCN)CCCCCCCCCCCCCCCCC</t>
  </si>
  <si>
    <t>744.55493:1223176 745.55960:554120 746.56427:142058</t>
  </si>
  <si>
    <t>PG 34:2|PG 16:0_18:2</t>
  </si>
  <si>
    <t>C40H75O10P</t>
  </si>
  <si>
    <t>PG</t>
  </si>
  <si>
    <t>ATBOMIWRCZXYSZ-UHFFFAOYSA-N</t>
  </si>
  <si>
    <t>O=C(OCC(OC(=O)CCCCCCCC=CCC=CCCCCC)COP(=O)(O)OCC(O)CO)CCCCCCCCCCCCCCC</t>
  </si>
  <si>
    <t>745.50183:64215 746.50650:23611 747.51117:6712</t>
  </si>
  <si>
    <t>SM 34:2;O2</t>
  </si>
  <si>
    <t>C39H77N2O6P</t>
  </si>
  <si>
    <t>XEEDWCVETJKBDA-UHFFFAOYSA-N</t>
  </si>
  <si>
    <t>O=C(NC(COP(=O)([O-])OCC[N+](C)(C)C)C(O)C=CCCC=CCCC)CCCCCCCCCCCCCCCCCCCCC</t>
  </si>
  <si>
    <t>745.54938:512984 746.55405:226109 747.55871:56337</t>
  </si>
  <si>
    <t>SM 34:2;O2|SM 18:2;O2/16:0</t>
  </si>
  <si>
    <t>RYPRHPLEPBYJJE-UHFFFAOYSA-N</t>
  </si>
  <si>
    <t>O=C(NC(COP(=O)([O-])OCC[N+](C)(C)C)C(O)C=CCCC=CCCCCCCCCC)CCCCCCCCCCCCCCC</t>
  </si>
  <si>
    <t>745.54987:7267040 746.55453:3216782 747.55920:799015</t>
  </si>
  <si>
    <t>PE O-38:7|PE O-18:2_20:5</t>
  </si>
  <si>
    <t>C43H74NO7P</t>
  </si>
  <si>
    <t>MJNUFJMYDPWHNM-UHFFFAOYSA-N</t>
  </si>
  <si>
    <t>O=C(OC(COCCCCCCCCC=CCC=CCCCCC)COP(=O)(O)OCCN)CCCC=CCC=CCC=CCC=CCC=CCC</t>
  </si>
  <si>
    <t>746.51257:199408 747.51724:128698 748.52191:44786</t>
  </si>
  <si>
    <t>PE O-38:7|PE O-16:1_22:6</t>
  </si>
  <si>
    <t>KGCPGAKRLOCUEV-UHFFFAOYSA-N</t>
  </si>
  <si>
    <t>O=C(OC(COCCCCCCCCC=CCCCCCC)COP(=O)(O)OCCN)CCC=CCC=CCC=CCC=CCC=CCC=CCC</t>
  </si>
  <si>
    <t>746.51349:387229 747.51816:182919 748.52282:44565</t>
  </si>
  <si>
    <t>PE O-38:7|PE O-18:3_20:4</t>
  </si>
  <si>
    <t>QIQGIECOBDSDSX-UHFFFAOYSA-N</t>
  </si>
  <si>
    <t>O=C(OC(COCCCCCCCCC=CCC=CCC=CCC)COP(=O)(O)OCCN)CCCCCCC=CCC=CCC=CCC=CCC</t>
  </si>
  <si>
    <t>746.51392:130086 747.51858:0 748.52325:0</t>
  </si>
  <si>
    <t>DMPE 34:0|DMPE 16:0_18:0</t>
  </si>
  <si>
    <t>C41H82NO8P</t>
  </si>
  <si>
    <t>YIUMLXHZEKGJGI-UHFFFAOYSA-N</t>
  </si>
  <si>
    <t>O=C(OCC(OC(=O)CCCCCCCCCCCCCCCCC)COP(=O)(O)OCCN(C)C)CCCCCCCCCCCCCCC</t>
  </si>
  <si>
    <t>746.56964:164974 747.57431:74463 748.57898:17725</t>
  </si>
  <si>
    <t>SM 34:1;O2</t>
  </si>
  <si>
    <t>C39H79N2O6P</t>
  </si>
  <si>
    <t>ASWNCHFNKSPKBK-UHFFFAOYSA-N</t>
  </si>
  <si>
    <t>O=C(NC(COP(=O)([O-])OCC[N+](C)(C)C)C(O)C=CCCCCCCC)CCCCCCCCCCCCCCCCCCCCC</t>
  </si>
  <si>
    <t>747.56543:40935132 748.57010:17381314 749.57477:3733696</t>
  </si>
  <si>
    <t>SM 34:1;O2|SM 18:1;O2/16:0</t>
  </si>
  <si>
    <t>RWKUXQNLWDTSLO-UHFFFAOYSA-N</t>
  </si>
  <si>
    <t>O=C(NC(COP(=O)([O-])OCC[N+](C)(C)C)C(O)C=CCCCCCCCCCCCCC)CCCCCCCCCCCCCCC</t>
  </si>
  <si>
    <t>747.56537:526163 748.57004:225489 749.57470:49778</t>
  </si>
  <si>
    <t>PE O-38:6|PE O-18:1_20:5</t>
  </si>
  <si>
    <t>C43H76NO7P</t>
  </si>
  <si>
    <t>WHKDVYYCCUAIBY-UHFFFAOYSA-N</t>
  </si>
  <si>
    <t>O=C(OC(COCCCCCCCCC=CCCCCCCCC)COP(=O)(O)OCCN)CCCC=CCC=CCC=CCC=CCC=CCC</t>
  </si>
  <si>
    <t>748.52679:377605 749.53146:150390 750.53613:0</t>
  </si>
  <si>
    <t>PE O-38:6|PE O-18:2_20:4</t>
  </si>
  <si>
    <t>QGMRGDWLZOYPFY-UHFFFAOYSA-N</t>
  </si>
  <si>
    <t>O=C(OC(COCCCCCCCCC=CCC=CCCCCC)COP(=O)(O)OCCN)CCCCCCC=CCC=CCC=CCC=CCC</t>
  </si>
  <si>
    <t>748.52893:712517 749.53360:294918 750.53827:0</t>
  </si>
  <si>
    <t>PE O-38:6|PE O-16:0_22:6</t>
  </si>
  <si>
    <t>JJMPYAHUHHQAJB-UHFFFAOYSA-N</t>
  </si>
  <si>
    <t>O=C(OC(COCCCCCCCCCCCCCCCC)COP(=O)(O)OCCN)CCC=CCC=CCC=CCC=CCC=CCC=CCC</t>
  </si>
  <si>
    <t>748.52808:650293 749.53274:269290 750.53741:0</t>
  </si>
  <si>
    <t>SM 34:0;O2|SM 18:0;O2/16:0</t>
  </si>
  <si>
    <t>C39H81N2O6P</t>
  </si>
  <si>
    <t>QHZIGNLCLJPLCU-UHFFFAOYSA-N</t>
  </si>
  <si>
    <t>O=C(NC(COP(=O)([O-])OCC[N+](C)(C)C)C(O)CCCCCCCCCCCCCCC)CCCCCCCCCCCCCCC</t>
  </si>
  <si>
    <t>749.58136:353648 750.58603:0 751.59070:0</t>
  </si>
  <si>
    <t>PE O-38:5|PE O-18:1_20:4</t>
  </si>
  <si>
    <t>C43H78NO7P</t>
  </si>
  <si>
    <t>VLIJZYIABFUKFN-UHFFFAOYSA-N</t>
  </si>
  <si>
    <t>O=C(OC(COCCCCCCCCC=CCCCCCCCC)COP(=O)(O)OCCN)CCCCCCC=CCC=CCC=CCC=CCC</t>
  </si>
  <si>
    <t>N_Serum_4Xdil_750_800_R5</t>
  </si>
  <si>
    <t>750.54376:1249935 751.54843:654308 752.55310:237065</t>
  </si>
  <si>
    <t>PE O-38:5|PE O-16:0_22:5</t>
  </si>
  <si>
    <t>CFQRNKTWTBEFHB-UHFFFAOYSA-N</t>
  </si>
  <si>
    <t>O=C(OC(COCCCCCCCCCCCCCCCC)COP(=O)(O)OCCN)CCCCCC=CCC=CCC=CCC=CCC=CCC</t>
  </si>
  <si>
    <t>N_Serum_8Xdil_750_800</t>
  </si>
  <si>
    <t>750.54376:612664 751.54843:316732 752.55310:120322</t>
  </si>
  <si>
    <t>N_Serum_8Xdil_750_800_R3</t>
  </si>
  <si>
    <t>750.54407:12391362 751.54874:6902862 752.55340:1915501</t>
  </si>
  <si>
    <t>N_Serum_40Xdil_750_850</t>
  </si>
  <si>
    <t>750.54565:1836998 751.55032:995882 752.55499:274765</t>
  </si>
  <si>
    <t>PE O-38:5|PE O-16:1_22:4</t>
  </si>
  <si>
    <t>OZSVECGNTALICE-UHFFFAOYSA-N</t>
  </si>
  <si>
    <t>O=C(OC(COCCCCCCCCC=CCCCCCC)COP(=O)(O)OCCN)CCCCCCCCC=CCC=CCC=CCC=CCC</t>
  </si>
  <si>
    <t>750.54480:469426 751.54947:262184 752.55414:68531</t>
  </si>
  <si>
    <t>750.54596:327322 751.55063:186972 752.55529:52116</t>
  </si>
  <si>
    <t>PE O-38:4|PE O-18:0_20:4</t>
  </si>
  <si>
    <t>C43H80NO7P</t>
  </si>
  <si>
    <t>RXEVLILBESBJQS-UHFFFAOYSA-N</t>
  </si>
  <si>
    <t>O=C(OC(COCCCCCCCCCCCCCCCCCC)COP(=O)(O)OCCN)CCCCCCC=CCC=CCC=CCC=CCC</t>
  </si>
  <si>
    <t>752.56006:880064 753.56473:446373 754.56939:114470</t>
  </si>
  <si>
    <t>752.56171:130130 753.56637:62163 754.57104:16841</t>
  </si>
  <si>
    <t>752.56042:495494 753.56509:243041 754.56976:66575</t>
  </si>
  <si>
    <t>N_Serum_4Xdil_750_800_R4</t>
  </si>
  <si>
    <t>752.55988:1503303 753.56454:723419 754.56921:191479</t>
  </si>
  <si>
    <t>752.56073:69008 753.56540:34077 754.57007:10747</t>
  </si>
  <si>
    <t>PE O-38:3|PE O-20:1_18:2</t>
  </si>
  <si>
    <t>C43H82NO7P</t>
  </si>
  <si>
    <t>DAIDBSCCEAIZEG-UHFFFAOYSA-N</t>
  </si>
  <si>
    <t>O=C(OC(COCCCCCCCCCCC=CCCCCCCCC)COP(=O)(O)OCCN)CCCCCCCC=CCC=CCCCCC</t>
  </si>
  <si>
    <t>754.57526:96065 755.57992:45042 756.58459:28152</t>
  </si>
  <si>
    <t>754.57587:316360 755.58053:151813 756.58520:41012</t>
  </si>
  <si>
    <t>754.57611:90833 755.58078:45006 756.58545:11209</t>
  </si>
  <si>
    <t>DMPE 35:2|DMPE 17:0_18:2</t>
  </si>
  <si>
    <t>C42H80NO8P</t>
  </si>
  <si>
    <t>QVLNUHHNSMLNQL-UHFFFAOYSA-N</t>
  </si>
  <si>
    <t>O=C(OCC(OC(=O)CCCCCCCC=CCC=CCCCCC)COP(=O)(O)OCCN(C)C)CCCCCCCCCCCCCCCC</t>
  </si>
  <si>
    <t>756.55487:414501 757.55954:192879 758.56421:51897</t>
  </si>
  <si>
    <t>756.55548:120089 757.56015:56095 758.56482:15769</t>
  </si>
  <si>
    <t>PE O-38:2|PE O-20:1_18:1</t>
  </si>
  <si>
    <t>C43H84NO7P</t>
  </si>
  <si>
    <t>LHAYUNOJBHQBDX-UHFFFAOYSA-N</t>
  </si>
  <si>
    <t>O=C(OC(COCCCCCCCCCCC=CCCCCCCCC)COP(=O)(O)OCCN)CCCCCCCC=CCCCCCCCC</t>
  </si>
  <si>
    <t>756.58728:55273 757.59195:25634 758.59662:4994</t>
  </si>
  <si>
    <t>PE O-38:2|PE O-20:0_18:2</t>
  </si>
  <si>
    <t>FUOWNRULQZKEKD-UHFFFAOYSA-N</t>
  </si>
  <si>
    <t>O=C(OC(COCCCCCCCCCCCCCCCCCCCC)COP(=O)(O)OCCN)CCCCCCCC=CCC=CCCCCC</t>
  </si>
  <si>
    <t>756.59143:74160 757.59610:35167 758.60077:9003</t>
  </si>
  <si>
    <t>756.59204:93634 757.59671:46441 758.60138:12123</t>
  </si>
  <si>
    <t>DMPE 35:1|DMPE 17:0_18:1</t>
  </si>
  <si>
    <t>C42H82NO8P</t>
  </si>
  <si>
    <t>XSQZFZYCYUKANM-UHFFFAOYSA-N</t>
  </si>
  <si>
    <t>O=C(OCC(OC(=O)CCCCCCCC=CCCCCCCCC)COP(=O)(O)OCCN(C)C)CCCCCCCCCCCCCCCC</t>
  </si>
  <si>
    <t>758.57117:106005 759.57583:47934 760.58050:13604</t>
  </si>
  <si>
    <t>SM 35:2;O2</t>
  </si>
  <si>
    <t>C40H79N2O6P</t>
  </si>
  <si>
    <t>IUPBWQMFYYOKQI-UHFFFAOYSA-N</t>
  </si>
  <si>
    <t>O=C(NC(COP(=O)([O-])OCC[N+](C)(C)C)C(O)C=CCCC=CCCC)CCCCCCCCCCCCCCCCCCCCCC</t>
  </si>
  <si>
    <t>759.56647:180773 760.57114:85546 761.57580:21192</t>
  </si>
  <si>
    <t>PC O-32:2|PC O-16:1_16:1</t>
  </si>
  <si>
    <t>C40H78NO7P</t>
  </si>
  <si>
    <t>MZDGVRYVGYDNAO-UHFFFAOYSA-N</t>
  </si>
  <si>
    <t>O=C(OC(COCCCCCCCCC=CCCCCCC)COP(=O)([O-])OCC[N+](C)(C)C)CCCCCCCC=CCCCCCC</t>
  </si>
  <si>
    <t>760.55060:82210 761.55527:0 762.55993:0</t>
  </si>
  <si>
    <t>SM 34:2;O3</t>
  </si>
  <si>
    <t>C39H77N2O7P</t>
  </si>
  <si>
    <t>SZEJSYWBKCTVOG-UHFFFAOYSA-N</t>
  </si>
  <si>
    <t>O=C(NC(COP(=O)([O-])OCC[N+](C)(C)C)C(O)C(O)CCCC=CCCC)CCCCCCCCCCCC=CCCCCCCCC</t>
  </si>
  <si>
    <t>761.54559:66126 762.55026:29320 763.55493:6706</t>
  </si>
  <si>
    <t>SM 35:1;O2|SM 17:1;O2/18:0</t>
  </si>
  <si>
    <t>C40H81N2O6P</t>
  </si>
  <si>
    <t>DPLGGWKMPLPJQQ-UHFFFAOYSA-N</t>
  </si>
  <si>
    <t>O=C(NC(COP(=O)([O-])OCC[N+](C)(C)C)C(O)C=CCCCCCCCCCCCC)CCCCCCCCCCCCCCCCC</t>
  </si>
  <si>
    <t>761.58167:3007072 762.58633:1410776 763.59100:352697</t>
  </si>
  <si>
    <t>SM 35:1;O2|SM 18:1;O2/17:0</t>
  </si>
  <si>
    <t>YMQZQHIESOAPQH-UHFFFAOYSA-N</t>
  </si>
  <si>
    <t>O=C(NC(COP(=O)([O-])OCC[N+](C)(C)C)C(O)C=CCCCCCCCCCCCCC)CCCCCCCCCCCCCCCC</t>
  </si>
  <si>
    <t>N_Serum_8Xdil_750_800_R2</t>
  </si>
  <si>
    <t>761.58203:1898790 762.58670:880459 763.59137:231980</t>
  </si>
  <si>
    <t>SM 35:1;O2</t>
  </si>
  <si>
    <t>ASVIEZNRHGUMIU-UHFFFAOYSA-N</t>
  </si>
  <si>
    <t>O=C(NC(COP(=O)([O-])OCC[N+](C)(C)C)C(O)C=CCCCCCCC)CCCCCCCCCCCCCCCCCCCCCC</t>
  </si>
  <si>
    <t>761.58185:282726 762.58652:128154 763.59118:31622</t>
  </si>
  <si>
    <t>PE 38:6|PE 16:0_22:6</t>
  </si>
  <si>
    <t>C43H74NO8P</t>
  </si>
  <si>
    <t>MPWUZHVZZKSTPV-UHFFFAOYSA-N</t>
  </si>
  <si>
    <t>O=C(OCC(OC(=O)CCC=CCC=CCC=CCC=CCC=CCC=CCC)COP(=O)(O)OCCN)CCCCCCCCCCCCCCC</t>
  </si>
  <si>
    <t>762.50812:1616392 763.51279:793901 764.51745:213186</t>
  </si>
  <si>
    <t>PE 38:6|PE 18:2_20:4</t>
  </si>
  <si>
    <t>VFHZIDQZQBGNBH-UHFFFAOYSA-N</t>
  </si>
  <si>
    <t>O=C(OCC(OC(=O)CCCCCCC=CCC=CCC=CCC=CCC)COP(=O)(O)OCCN)CCCCCCCC=CCC=CCCCCC</t>
  </si>
  <si>
    <t>762.50812:240559 763.51279:113680 764.51745:36305</t>
  </si>
  <si>
    <t>762.50793:129967 763.51260:59128 764.51727:22447</t>
  </si>
  <si>
    <t>PC O-32:1|PC O-16:0_16:1</t>
  </si>
  <si>
    <t>C40H80NO7P</t>
  </si>
  <si>
    <t>HJVQHTGUAIETCQ-UHFFFAOYSA-N</t>
  </si>
  <si>
    <t>O=C(OC(COCCCCCCCCCCCCCCCC)COP(=O)([O-])OCC[N+](C)(C)C)CCCCCCCC=CCCCCCC</t>
  </si>
  <si>
    <t>762.56500:117570 763.56967:55523 764.57434:14331</t>
  </si>
  <si>
    <t>PC O-32:1|PC O-16:1_16:0</t>
  </si>
  <si>
    <t>BXQUYBIIGCTQFV-UHFFFAOYSA-N</t>
  </si>
  <si>
    <t>O=C(OC(COCCCCCCCCC=CCCCCCC)COP(=O)([O-])OCC[N+](C)(C)C)CCCCCCCCCCCCCCC</t>
  </si>
  <si>
    <t>762.56586:1179396 763.57052:544792 764.57519:140110</t>
  </si>
  <si>
    <t>SM 34:1;O3</t>
  </si>
  <si>
    <t>C39H79N2O7P</t>
  </si>
  <si>
    <t>FDLNUCQCWAHRMF-UHFFFAOYSA-N</t>
  </si>
  <si>
    <t>O=C(NC(COP(=O)([O-])OCC[N+](C)(C)C)C(O)C(O)CCCC=CCCC)CCCCCCCCCCCCCCCCCCCCC</t>
  </si>
  <si>
    <t>763.56110:284678 764.56576:128397 765.57043:32162</t>
  </si>
  <si>
    <t>SM 35:0;O2</t>
  </si>
  <si>
    <t>C40H83N2O6P</t>
  </si>
  <si>
    <t>SCGMDVLBUVHROA-UHFFFAOYSA-N</t>
  </si>
  <si>
    <t>O=C(NC(COP(=O)([O-])OCC[N+](C)(C)C)C(O)CCCCCCCCC)CCCCCCCCCCCCCCCCCCCCCC</t>
  </si>
  <si>
    <t>763.59760:69312 764.60226:32585 765.60693:7676</t>
  </si>
  <si>
    <t>DMPE 36:5|DMPE 16:0_20:5</t>
  </si>
  <si>
    <t>C43H76NO8P</t>
  </si>
  <si>
    <t>UMRMFWCFCJPOIE-UHFFFAOYSA-N</t>
  </si>
  <si>
    <t>O=C(OCC(OC(=O)CCCC=CCC=CCC=CCC=CCC=CCC)COP(=O)(O)OCCN(C)C)CCCCCCCCCCCCCCC</t>
  </si>
  <si>
    <t>764.52399:314066 765.52865:155727 766.53332:48036</t>
  </si>
  <si>
    <t>DMPE 36:5|DMPE 16:1_20:4</t>
  </si>
  <si>
    <t>YCSGMHCJLIADSK-UHFFFAOYSA-N</t>
  </si>
  <si>
    <t>O=C(OCC(OC(=O)CCCCCCC=CCC=CCC=CCC=CCC)COP(=O)(O)OCCN(C)C)CCCCCCCC=CCCCCCC</t>
  </si>
  <si>
    <t>764.52356:88024 765.52823:43122 766.53290:104095</t>
  </si>
  <si>
    <t>DMPE 36:5|DMPE 18:2_18:3</t>
  </si>
  <si>
    <t>GVHAVIWLODPVJI-UHFFFAOYSA-N</t>
  </si>
  <si>
    <t>O=C(OCC(OC(=O)CCCCCCCC=CCC=CCC=CCC)COP(=O)(O)OCCN(C)C)CCCCCCCC=CCC=CCCCCC</t>
  </si>
  <si>
    <t>764.52393:65432 765.52859:29970 766.53326:9686</t>
  </si>
  <si>
    <t>764.52393:334849 765.52859:164042 766.53326:163705</t>
  </si>
  <si>
    <t>PE 38:5|PE 18:1_20:4</t>
  </si>
  <si>
    <t>ZYMZKMQPPJPQHY-UHFFFAOYSA-N</t>
  </si>
  <si>
    <t>O=C(OCC(OC(=O)CCCCCCC=CCC=CCC=CCC=CCC)COP(=O)(O)OCCN)CCCCCCCC=CCCCCCCCC</t>
  </si>
  <si>
    <t>764.52344:1328064 765.52811:635580 766.53277:184335</t>
  </si>
  <si>
    <t>PE O-39:5|PE O-19:1_20:4</t>
  </si>
  <si>
    <t>C44H80NO7P</t>
  </si>
  <si>
    <t>RMPJATYQLSTIMY-UHFFFAOYSA-N</t>
  </si>
  <si>
    <t>O=C(OC(COCCCCCCCCC=CCCCCCCCCC)COP(=O)(O)OCCN)CCCCCCC=CCC=CCC=CCC=CCC</t>
  </si>
  <si>
    <t>764.55969:76599 765.56436:83628 766.56903:37627</t>
  </si>
  <si>
    <t>PC O-32:0|PC O-16:0_16:0</t>
  </si>
  <si>
    <t>C40H82NO7P</t>
  </si>
  <si>
    <t>WOTHHEHCEYHCFE-UHFFFAOYSA-N</t>
  </si>
  <si>
    <t>O=C(OC(COCCCCCCCCCCCCCCCC)COP(=O)([O-])OCC[N+](C)(C)C)CCCCCCCCCCCCCCC</t>
  </si>
  <si>
    <t>764.58099:1688566 765.58566:772910 766.59033:195145</t>
  </si>
  <si>
    <t>764.58136:1417920 765.58603:645600 766.59070:168409</t>
  </si>
  <si>
    <t>SM 34:0;O3</t>
  </si>
  <si>
    <t>C39H81N2O7P</t>
  </si>
  <si>
    <t>KCEDXANCLAIXNJ-UHFFFAOYSA-N</t>
  </si>
  <si>
    <t>O=C(NC(COP(=O)([O-])OCC[N+](C)(C)C)C(O)C(O)CCCCCCCC)CCCCCCCCCCCCCCCCCCCCC</t>
  </si>
  <si>
    <t>765.57666:122418 766.58133:48445 767.58600:10996</t>
  </si>
  <si>
    <t>PE 38:4|PE 18:0_20:4</t>
  </si>
  <si>
    <t>C43H78NO8P</t>
  </si>
  <si>
    <t>YEHAZLUVAZKVRO-UHFFFAOYSA-N</t>
  </si>
  <si>
    <t>O=C(OCC(OC(=O)CCCCCCC=CCC=CCC=CCC=CCC)COP(=O)(O)OCCN)CCCCCCCCCCCCCCCCC</t>
  </si>
  <si>
    <t>766.53857:11091827 767.54324:5353042 768.54791:1449905</t>
  </si>
  <si>
    <t>DMPE 36:4|DMPE 18:2_18:2</t>
  </si>
  <si>
    <t>OUZIZLCUHUZKOQ-UHFFFAOYSA-N</t>
  </si>
  <si>
    <t>O=C(OCC(OC(=O)CCCCCCCC=CCC=CCCCCC)COP(=O)(O)OCCN(C)C)CCCCCCCC=CCC=CCCCCC</t>
  </si>
  <si>
    <t>766.53918:167312 767.54385:78149 768.54852:129707</t>
  </si>
  <si>
    <t>766.53931:1682203 767.54397:787812 768.54864:213083</t>
  </si>
  <si>
    <t>766.53955:1797278 767.54422:869333 768.54889:260838</t>
  </si>
  <si>
    <t>766.53943:644773 767.54410:315056 768.54876:81387</t>
  </si>
  <si>
    <t>DMPE 36:4|DMPE 16:0_20:4</t>
  </si>
  <si>
    <t>LIIHDRINQJPFJK-UHFFFAOYSA-N</t>
  </si>
  <si>
    <t>O=C(OCC(OC(=O)CCCCCCC=CCC=CCC=CCC=CCC)COP(=O)(O)OCCN(C)C)CCCCCCCCCCCCCCC</t>
  </si>
  <si>
    <t>766.53961:4012575 767.54428:1925193 768.54895:515653</t>
  </si>
  <si>
    <t>PE 38:3|PE 18:0_20:3</t>
  </si>
  <si>
    <t>C43H80NO8P</t>
  </si>
  <si>
    <t>MSYFXMJDQLPRGO-UHFFFAOYSA-N</t>
  </si>
  <si>
    <t>O=C(OCC(OC(=O)CCCCCCCCCC=CCC=CCC=CCC)COP(=O)(O)OCCN)CCCCCCCCCCCCCCCCC</t>
  </si>
  <si>
    <t>768.55341:1720502 769.55807:855800 770.56274:230249</t>
  </si>
  <si>
    <t>768.55347:935224 769.55813:446188 770.56280:120790</t>
  </si>
  <si>
    <t>DMPE 36:3|DMPE 18:1_18:2</t>
  </si>
  <si>
    <t>XNCALILGAVSVAG-UHFFFAOYSA-N</t>
  </si>
  <si>
    <t>O=C(OCC(OC(=O)CCCCCCCC=CCC=CCCCCC)COP(=O)(O)OCCN(C)C)CCCCCCCC=CCCCCCCCC</t>
  </si>
  <si>
    <t>768.55396:1486335 769.55862:714011 770.56329:193066</t>
  </si>
  <si>
    <t>768.55511:229881 769.55978:112291 770.56445:38639</t>
  </si>
  <si>
    <t>DMPE 36:3|DMPE 16:0_20:3</t>
  </si>
  <si>
    <t>LDBOYMCELDBRSR-UHFFFAOYSA-N</t>
  </si>
  <si>
    <t>O=C(OCC(OC(=O)CCCCCCCCCC=CCC=CCC=CCC)COP(=O)(O)OCCN(C)C)CCCCCCCCCCCCCCC</t>
  </si>
  <si>
    <t>768.55450:2513401 769.55917:1201085 770.56384:323422</t>
  </si>
  <si>
    <t>PE O-40:9|PE O-18:3_22:6</t>
  </si>
  <si>
    <t>C45H74NO7P</t>
  </si>
  <si>
    <t>JQLOIOOYOCUUJK-UHFFFAOYSA-N</t>
  </si>
  <si>
    <t>O=C(OC(COCCCCCCCCC=CCC=CCC=CCC)COP(=O)(O)OCCN)CCC=CCC=CCC=CCC=CCC=CCC=CCC</t>
  </si>
  <si>
    <t>770.51270:45027 771.51736:23478 772.52203:6343</t>
  </si>
  <si>
    <t>DMPE 36:2|DMPE 18:1_18:1</t>
  </si>
  <si>
    <t>C43H82NO8P</t>
  </si>
  <si>
    <t>XHPZRQBHFOVLEJ-UHFFFAOYSA-N</t>
  </si>
  <si>
    <t>O=C(OCC(OC(=O)CCCCCCCC=CCCCCCCCC)COP(=O)(O)OCCN(C)C)CCCCCCCC=CCCCCCCCC</t>
  </si>
  <si>
    <t>770.56995:7536182 771.57461:3630840 772.57928:982823</t>
  </si>
  <si>
    <t>770.57111:49791 771.57577:24297 772.58044:15783</t>
  </si>
  <si>
    <t>SM 36:3;O2</t>
  </si>
  <si>
    <t>C41H79N2O6P</t>
  </si>
  <si>
    <t>XZVLJNYZVUHHMH-UHFFFAOYSA-N</t>
  </si>
  <si>
    <t>O=C(NC(COP(=O)([O-])OCC[N+](C)(C)C)C(O)C=CCCC=CCCC)CCCCCCCCCCCCCC=CCCCCCCCC</t>
  </si>
  <si>
    <t>771.56421:64906 772.56888:29552 773.57354:7551</t>
  </si>
  <si>
    <t>PE O-40:8|PE O-18:2_22:6</t>
  </si>
  <si>
    <t>C45H76NO7P</t>
  </si>
  <si>
    <t>VVEHXBSUSFPSAC-UHFFFAOYSA-N</t>
  </si>
  <si>
    <t>O=C(OC(COCCCCCCCCC=CCC=CCCCCC)COP(=O)(O)OCCN)CCC=CCC=CCC=CCC=CCC=CCC=CCC</t>
  </si>
  <si>
    <t>772.52771:812717 773.53238:412116 774.53705:112196</t>
  </si>
  <si>
    <t>DMPE 36:1|DMPE 18:0_18:1</t>
  </si>
  <si>
    <t>C43H84NO8P</t>
  </si>
  <si>
    <t>JPXWWRACEORTKX-UHFFFAOYSA-N</t>
  </si>
  <si>
    <t>O=C(OCC(OC(=O)CCCCCCCC=CCCCCCCCC)COP(=O)(O)OCCN(C)C)CCCCCCCCCCCCCCCCC</t>
  </si>
  <si>
    <t>772.58594:1569208 773.59061:754445 774.59527:207713</t>
  </si>
  <si>
    <t>HexCer 36:1;O2|HexCer 18:1;O2/18:0</t>
  </si>
  <si>
    <t>C42H81NO8</t>
  </si>
  <si>
    <t>HexCer_NS</t>
  </si>
  <si>
    <t>YMYQEDCYNANIPI-UHFFFAOYSA-N</t>
  </si>
  <si>
    <t>O=C(NC(COC1OC(CO)C(O)C(O)C1O)C(O)C=CCCCCCCCCCCCCC)CCCCCCCCCCCCCCCCC</t>
  </si>
  <si>
    <t>772.59741:141207 773.60208:70610 774.60675:0</t>
  </si>
  <si>
    <t>SM 36:2;O2|SM 18:2;O2/18:0</t>
  </si>
  <si>
    <t>C41H81N2O6P</t>
  </si>
  <si>
    <t>GCHHFAWECQPLHL-UHFFFAOYSA-N</t>
  </si>
  <si>
    <t>O=C(NC(COP(=O)([O-])OCC[N+](C)(C)C)C(O)C=CCCC=CCCCCCCCCC)CCCCCCCCCCCCCCCCC</t>
  </si>
  <si>
    <t>773.58124:4754790 774.58591:2252681 775.59057:595514</t>
  </si>
  <si>
    <t>PC 32:2|PC 14:0_18:2</t>
  </si>
  <si>
    <t>PC</t>
  </si>
  <si>
    <t>IWXJKHSPEQSQMD-UHFFFAOYSA-N</t>
  </si>
  <si>
    <t>O=C(OCC(OC(=O)CCCCCCCC=CCC=CCCCCC)COP(=O)([O-])OCC[N+](C)(C)C)CCCCCCCCCCCCC</t>
  </si>
  <si>
    <t>774.52905:1159683 775.53372:528139 776.53839:140108</t>
  </si>
  <si>
    <t>PE O-40:7|PE O-18:1_22:6</t>
  </si>
  <si>
    <t>C45H78NO7P</t>
  </si>
  <si>
    <t>IVBLZGVNSKPGOR-UHFFFAOYSA-N</t>
  </si>
  <si>
    <t>O=C(OC(COCCCCCCCCC=CCCCCCCCC)COP(=O)(O)OCCN)CCC=CCC=CCC=CCC=CCC=CCC=CCC</t>
  </si>
  <si>
    <t>774.54315:250791 775.54782:123371 776.55249:43965</t>
  </si>
  <si>
    <t>774.54346:137737 775.54812:67075 776.55279:20329</t>
  </si>
  <si>
    <t>PE O-40:7|PE O-18:2_22:5</t>
  </si>
  <si>
    <t>ZGFRFFVTVBULAT-UHFFFAOYSA-N</t>
  </si>
  <si>
    <t>O=C(OC(COCCCCCCCCC=CCC=CCCCCC)COP(=O)(O)OCCN)CCCCCC=CCC=CCC=CCC=CCC=CCC</t>
  </si>
  <si>
    <t>774.54340:153159 775.54806:0 776.55273:0</t>
  </si>
  <si>
    <t>774.54553:542610 775.55020:274267 776.55487:76943</t>
  </si>
  <si>
    <t>SM 36:1;O2|SM 18:1;O2/18:0</t>
  </si>
  <si>
    <t>C41H83N2O6P</t>
  </si>
  <si>
    <t>LKQLRGMMMAHREN-UHFFFAOYSA-N</t>
  </si>
  <si>
    <t>O=C(NC(COP(=O)([O-])OCC[N+](C)(C)C)C(O)C=CCCCCCCCCCCCCC)CCCCCCCCCCCCCCCCC</t>
  </si>
  <si>
    <t>775.59741:3522303 776.60208:1652960 777.60675:450443</t>
  </si>
  <si>
    <t>PC 32:1|PC 16:0_16:1</t>
  </si>
  <si>
    <t>C40H78NO8P</t>
  </si>
  <si>
    <t>QIBZFHLFHCIUOT-UHFFFAOYSA-N</t>
  </si>
  <si>
    <t>O=C(OCC(OC(=O)CCCCCCCC=CCCCCCC)COP(=O)([O-])OCC[N+](C)(C)C)CCCCCCCCCCCCCCC</t>
  </si>
  <si>
    <t>776.54297:3336452 777.54764:1550088 778.55230:418059</t>
  </si>
  <si>
    <t>776.54449:661216 777.54916:306399 778.55383:75726</t>
  </si>
  <si>
    <t>PE O-40:6|PE O-20:2_20:4</t>
  </si>
  <si>
    <t>C45H80NO7P</t>
  </si>
  <si>
    <t>MFGPDQNVTKNKDB-UHFFFAOYSA-N</t>
  </si>
  <si>
    <t>O=C(OC(COCCCCCCCCCCC=CCC=CCCCCC)COP(=O)(O)OCCN)CCCCCCC=CCC=CCC=CCC=CCC</t>
  </si>
  <si>
    <t>776.55762:142673 777.56228:69106 778.56695:23243</t>
  </si>
  <si>
    <t>776.55792:81070 777.56259:40844 778.56726:14535</t>
  </si>
  <si>
    <t>PE O-40:6|PE O-18:1_22:5</t>
  </si>
  <si>
    <t>NKXPONDLZHZZND-UHFFFAOYSA-N</t>
  </si>
  <si>
    <t>O=C(OC(COCCCCCCCCC=CCCCCCCCC)COP(=O)(O)OCCN)CCCCCC=CCC=CCC=CCC=CCC=CCC</t>
  </si>
  <si>
    <t>776.56079:181345 777.56546:88780 778.57013:25982</t>
  </si>
  <si>
    <t>776.55878:65175 777.56344:31835 778.56811:136623</t>
  </si>
  <si>
    <t>SM 36:0;O2|SM 18:0;O2/18:0</t>
  </si>
  <si>
    <t>C41H85N2O6P</t>
  </si>
  <si>
    <t>JCELSEVNSMXGKA-UHFFFAOYSA-N</t>
  </si>
  <si>
    <t>O=C(NC(COP(=O)([O-])OCC[N+](C)(C)C)C(O)CCCCCCCCCCCCCCC)CCCCCCCCCCCCCCCCC</t>
  </si>
  <si>
    <t>777.61261:892574 778.61728:413471 779.62195:108746</t>
  </si>
  <si>
    <t>PC 32:0|PC 16:0_16:0</t>
  </si>
  <si>
    <t>C40H80NO8P</t>
  </si>
  <si>
    <t>KILNVBDSWZSGLL-UHFFFAOYSA-N</t>
  </si>
  <si>
    <t>O=C(OCC(OC(=O)CCCCCCCCCCCCCCC)COP(=O)([O-])OCC[N+](C)(C)C)CCCCCCCCCCCCCCC</t>
  </si>
  <si>
    <t>778.56085:1747791 779.56552:787795 780.57019:217534</t>
  </si>
  <si>
    <t>PE O-40:5|PE O-18:0_22:5</t>
  </si>
  <si>
    <t>C45H82NO7P</t>
  </si>
  <si>
    <t>WHJAXVALSIXNQX-UHFFFAOYSA-N</t>
  </si>
  <si>
    <t>O=C(OC(COCCCCCCCCCCCCCCCCCC)COP(=O)(O)OCCN)CCCCCC=CCC=CCC=CCC=CCC=CCC</t>
  </si>
  <si>
    <t>778.57391:327836 779.57858:164368 780.58325:59509</t>
  </si>
  <si>
    <t>PE O-40:5|PE O-20:1_20:4</t>
  </si>
  <si>
    <t>VGNOFAKEVVRKSY-UHFFFAOYSA-N</t>
  </si>
  <si>
    <t>O=C(OC(COCCCCCCCCCCC=CCCCCCCCC)COP(=O)(O)OCCN)CCCCCCC=CCC=CCC=CCC=CCC</t>
  </si>
  <si>
    <t>778.57550:755990 779.58017:372239 780.58484:101794</t>
  </si>
  <si>
    <t>778.57556:1375088 779.58023:691458 780.58490:189357</t>
  </si>
  <si>
    <t>778.57568:415735 779.58035:210012 780.58502:55872</t>
  </si>
  <si>
    <t>PC O-33:0|PC O-17:0_16:0</t>
  </si>
  <si>
    <t>C41H84NO7P</t>
  </si>
  <si>
    <t>PUUZBAIBFKLZOM-UHFFFAOYSA-N</t>
  </si>
  <si>
    <t>O=C(OC(COCCCCCCCCCCCCCCCCC)COP(=O)([O-])OCC[N+](C)(C)C)CCCCCCCCCCCCCCC</t>
  </si>
  <si>
    <t>778.59546:41337 779.60013:19735 780.60479:0</t>
  </si>
  <si>
    <t>PE 39:4|PE 19:0_20:4</t>
  </si>
  <si>
    <t>C44H80NO8P</t>
  </si>
  <si>
    <t>OFDOGRFSVOUXHN-UHFFFAOYSA-N</t>
  </si>
  <si>
    <t>O=C(OCC(OC(=O)CCCCCCC=CCC=CCC=CCC=CCC)COP(=O)(O)OCCN)CCCCCCCCCCCCCCCCCC</t>
  </si>
  <si>
    <t>780.55298:41087 781.55765:111621 782.56231:53822</t>
  </si>
  <si>
    <t>DMPE 37:4|DMPE 17:0_20:4</t>
  </si>
  <si>
    <t>CLBKFXOGRAEFOM-UHFFFAOYSA-N</t>
  </si>
  <si>
    <t>O=C(OCC(OC(=O)CCCCCCC=CCC=CCC=CCC=CCC)COP(=O)(O)OCCN(C)C)CCCCCCCCCCCCCCCC</t>
  </si>
  <si>
    <t>780.55322:51390 781.55789:28389 782.56256:8065</t>
  </si>
  <si>
    <t>780.55487:113421 781.55954:71098 782.56421:23815</t>
  </si>
  <si>
    <t>PE O-40:4|PE O-18:0_22:4</t>
  </si>
  <si>
    <t>C45H84NO7P</t>
  </si>
  <si>
    <t>VYTQELWTVMNGQZ-UHFFFAOYSA-N</t>
  </si>
  <si>
    <t>O=C(OC(COCCCCCCCCCCCCCCCCCC)COP(=O)(O)OCCN)CCCCCCCCC=CCC=CCC=CCC=CCC</t>
  </si>
  <si>
    <t>780.58978:65625 781.59445:36481 782.59912:9336</t>
  </si>
  <si>
    <t>780.59039:55625 781.59506:29263 782.59973:7717</t>
  </si>
  <si>
    <t>PE O-40:4|PE O-20:0_20:4</t>
  </si>
  <si>
    <t>ZCGUDUFJPFKWKP-UHFFFAOYSA-N</t>
  </si>
  <si>
    <t>O=C(OC(COCCCCCCCCCCCCCCCCCCCC)COP(=O)(O)OCCN)CCCCCCC=CCC=CCC=CCC=CCC</t>
  </si>
  <si>
    <t>780.59088:110079 781.59555:53970 782.60022:15062</t>
  </si>
  <si>
    <t>780.59088:552383 781.59555:256029 782.60022:73332</t>
  </si>
  <si>
    <t>780.59167:291806 781.59634:138787 782.60101:34744</t>
  </si>
  <si>
    <t>DMPE 37:3|DMPE 17:0_20:3</t>
  </si>
  <si>
    <t>C44H82NO8P</t>
  </si>
  <si>
    <t>VMEYZYQCKMMMPV-UHFFFAOYSA-N</t>
  </si>
  <si>
    <t>O=C(OCC(OC(=O)CCCCCCCCCC=CCC=CCC=CCC)COP(=O)(O)OCCN(C)C)CCCCCCCCCCCCCCCC</t>
  </si>
  <si>
    <t>782.56940:39783 783.57406:20554 784.57873:6695</t>
  </si>
  <si>
    <t>PE O-40:3|PE O-22:1_18:2</t>
  </si>
  <si>
    <t>C45H86NO7P</t>
  </si>
  <si>
    <t>JLAWBICDDSKWBI-UHFFFAOYSA-N</t>
  </si>
  <si>
    <t>O=C(OC(COCCCCCCCCCCCCC=CCCCCCCCC)COP(=O)(O)OCCN)CCCCCCCC=CCC=CCCCCC</t>
  </si>
  <si>
    <t>782.60687:90091 783.61154:44390 784.61621:11799</t>
  </si>
  <si>
    <t>HexCer 40:1;O2|HexCer 18:1;O2/22:0</t>
  </si>
  <si>
    <t>C46H89NO8</t>
  </si>
  <si>
    <t>YIGARKIIFOHVPF-UHFFFAOYSA-N</t>
  </si>
  <si>
    <t>O=C(NC(COC1OC(CO)C(O)C(O)C1O)C(O)C=CCCCCCCCCCCCCC)CCCCCCCCCCCCCCCCCCCCC</t>
  </si>
  <si>
    <t>782.65131:256191 783.65597:134408 784.66064:35718</t>
  </si>
  <si>
    <t>DMPE 37:2|DMPE 19:0_18:2</t>
  </si>
  <si>
    <t>C44H84NO8P</t>
  </si>
  <si>
    <t>LYDGBUVOFRKYSH-UHFFFAOYSA-N</t>
  </si>
  <si>
    <t>O=C(OCC(OC(=O)CCCCCCCC=CCC=CCCCCC)COP(=O)(O)OCCN(C)C)CCCCCCCCCCCCCCCCCC</t>
  </si>
  <si>
    <t>784.58539:56275 785.59006:25882 786.59472:6921</t>
  </si>
  <si>
    <t>PE O-40:2|PE O-22:1_18:1</t>
  </si>
  <si>
    <t>C45H88NO7P</t>
  </si>
  <si>
    <t>MFAYHZSHEWBOQM-UHFFFAOYSA-N</t>
  </si>
  <si>
    <t>O=C(OC(COCCCCCCCCCCCCC=CCCCCCCCC)COP(=O)(O)OCCN)CCCCCCCC=CCCCCCCCC</t>
  </si>
  <si>
    <t>784.62274:30748 785.62741:14021 786.63208:4083</t>
  </si>
  <si>
    <t>PE 40:8|PE 18:2_22:6</t>
  </si>
  <si>
    <t>C45H74NO8P</t>
  </si>
  <si>
    <t>HIZMZVSEIXACMP-UHFFFAOYSA-N</t>
  </si>
  <si>
    <t>O=C(OCC(OC(=O)CCC=CCC=CCC=CCC=CCC=CCC=CCC)COP(=O)(O)OCCN)CCCCCCCC=CCC=CCCCCC</t>
  </si>
  <si>
    <t>786.50531:31054 787.50998:13930 788.51465:5344</t>
  </si>
  <si>
    <t>PC O-34:3|PC O-16:1_18:2</t>
  </si>
  <si>
    <t>C42H80NO7P</t>
  </si>
  <si>
    <t>AXCLECQLCBWNLZ-UHFFFAOYSA-N</t>
  </si>
  <si>
    <t>O=C(OC(COCCCCCCCCC=CCCCCCC)COP(=O)([O-])OCC[N+](C)(C)C)CCCCCCCC=CCC=CCCCCC</t>
  </si>
  <si>
    <t>786.56506:5346358 787.56973:2525902 788.57440:719750</t>
  </si>
  <si>
    <t>PE 40:7|PE 18:1_22:6</t>
  </si>
  <si>
    <t>C45H76NO8P</t>
  </si>
  <si>
    <t>JZSZAGWWWKKXLO-UHFFFAOYSA-N</t>
  </si>
  <si>
    <t>O=C(OCC(OC(=O)CCC=CCC=CCC=CCC=CCC=CCC=CCC)COP(=O)(O)OCCN)CCCCCCCC=CCCCCCCCC</t>
  </si>
  <si>
    <t>788.52148:167924 789.52615:85725 790.53082:20063</t>
  </si>
  <si>
    <t>PC 33:2|PC 15:0_18:2</t>
  </si>
  <si>
    <t>DGBYUHHIADYUMU-UHFFFAOYSA-N</t>
  </si>
  <si>
    <t>O=C(OCC(OC(=O)CCCCCCCC=CCC=CCCCCC)COP(=O)([O-])OCC[N+](C)(C)C)CCCCCCCCCCCCCC</t>
  </si>
  <si>
    <t>788.54480:984316 789.54947:452540 790.55414:0</t>
  </si>
  <si>
    <t>PE O-41:7|PE O-19:1_22:6</t>
  </si>
  <si>
    <t>C46H80NO7P</t>
  </si>
  <si>
    <t>CFYWMETWXXZSHR-UHFFFAOYSA-N</t>
  </si>
  <si>
    <t>O=C(OC(COCCCCCCCCC=CCCCCCCCCC)COP(=O)(O)OCCN)CCC=CCC=CCC=CCC=CCC=CCC=CCC</t>
  </si>
  <si>
    <t>788.55872:42408 789.56338:63805 790.56805:26839</t>
  </si>
  <si>
    <t>PC O-34:2|PC O-16:1_18:1</t>
  </si>
  <si>
    <t>C42H82NO7P</t>
  </si>
  <si>
    <t>WDQJCKHLEYAETE-UHFFFAOYSA-N</t>
  </si>
  <si>
    <t>O=C(OC(COCCCCCCCCC=CCCCCCC)COP(=O)([O-])OCC[N+](C)(C)C)CCCCCCCC=CCCCCCCCC</t>
  </si>
  <si>
    <t>788.58051:1779979 789.58517:792106 790.58984:226246</t>
  </si>
  <si>
    <t>PC O-34:2|PC O-16:0_18:2</t>
  </si>
  <si>
    <t>IQACMFWAGALEAQ-UHFFFAOYSA-N</t>
  </si>
  <si>
    <t>O=C(OC(COCCCCCCCCCCCCCCCC)COP(=O)([O-])OCC[N+](C)(C)C)CCCCCCCC=CCC=CCCCCC</t>
  </si>
  <si>
    <t>788.57983:6153275 789.58450:2946702 790.58917:793272</t>
  </si>
  <si>
    <t>788.58057:3262431 789.58523:1553718 790.58990:418482</t>
  </si>
  <si>
    <t>SM 37:1;O2</t>
  </si>
  <si>
    <t>C42H85N2O6P</t>
  </si>
  <si>
    <t>AWIFGOBWPWIAOU-UHFFFAOYSA-N</t>
  </si>
  <si>
    <t>O=C(NC(COP(=O)([O-])OCC[N+](C)(C)C)C(O)C=CCCCCCCC)CCCCCCCCCCCCCCCCCCCCCCCC</t>
  </si>
  <si>
    <t>789.60992:1029209 790.61459:0 791.61926:0</t>
  </si>
  <si>
    <t>SM 37:1;O2|SM 17:1;O2/20:0</t>
  </si>
  <si>
    <t>ICPZABFQVIZEEL-UHFFFAOYSA-N</t>
  </si>
  <si>
    <t>O=C(NC(COP(=O)([O-])OCC[N+](C)(C)C)C(O)C=CCCCCCCCCCCCC)CCCCCCCCCCCCCCCCCCC</t>
  </si>
  <si>
    <t>789.61029:1275113 790.61496:0 791.61963:0</t>
  </si>
  <si>
    <t>PE 40:6|PE 18:0_22:6</t>
  </si>
  <si>
    <t>C45H78NO8P</t>
  </si>
  <si>
    <t>XYYHNDVKALDFHQ-UHFFFAOYSA-N</t>
  </si>
  <si>
    <t>O=C(OCC(OC(=O)CCC=CCC=CCC=CCC=CCC=CCC=CCC)COP(=O)(O)OCCN)CCCCCCCCCCCCCCCCC</t>
  </si>
  <si>
    <t>790.53802:1845132 791.54269:917767 792.54736:250854</t>
  </si>
  <si>
    <t>DMPE 38:6|DMPE 18:2_20:4</t>
  </si>
  <si>
    <t>KYMRFHLLCNDZMG-UHFFFAOYSA-N</t>
  </si>
  <si>
    <t>O=C(OCC(OC(=O)CCCCCCC=CCC=CCC=CCC=CCC)COP(=O)(O)OCCN(C)C)CCCCCCCC=CCC=CCCCCC</t>
  </si>
  <si>
    <t>790.53925:225448 791.54391:105030 792.54858:30562</t>
  </si>
  <si>
    <t>DMPE 38:6|DMPE 16:0_22:6</t>
  </si>
  <si>
    <t>MAEOLZGXEMAHLZ-UHFFFAOYSA-N</t>
  </si>
  <si>
    <t>O=C(OCC(OC(=O)CCC=CCC=CCC=CCC=CCC=CCC=CCC)COP(=O)(O)OCCN(C)C)CCCCCCCCCCCCCCC</t>
  </si>
  <si>
    <t>790.54102:272892 791.54568:135902 792.55035:40066</t>
  </si>
  <si>
    <t>790.53931:255782 791.54397:128075 792.54864:37251</t>
  </si>
  <si>
    <t>790.53857:3266688 791.54324:1559278 792.54791:499059</t>
  </si>
  <si>
    <t>PC 33:1|PC 16:0_17:1</t>
  </si>
  <si>
    <t>ASFWPRURQHKRSL-UHFFFAOYSA-N</t>
  </si>
  <si>
    <t>O=C(OCC(OC(=O)CCCCCCCC=CCCCCCCC)COP(=O)([O-])OCC[N+](C)(C)C)CCCCCCCCCCCCCCC</t>
  </si>
  <si>
    <t>790.55902:88309 791.56369:43750 792.56836:0</t>
  </si>
  <si>
    <t>PC 33:1|PC 17:0_16:1</t>
  </si>
  <si>
    <t>DISVYZNGGMDUPX-UHFFFAOYSA-N</t>
  </si>
  <si>
    <t>O=C(OCC(OC(=O)CCCCCCCC=CCCCCCC)COP(=O)([O-])OCC[N+](C)(C)C)CCCCCCCCCCCCCCCC</t>
  </si>
  <si>
    <t>790.55908:1995221 791.56375:942540 792.56842:282440</t>
  </si>
  <si>
    <t>PC 33:1|PC 15:0_18:1</t>
  </si>
  <si>
    <t>ZEWLMKXMNQOCOQ-UHFFFAOYSA-N</t>
  </si>
  <si>
    <t>O=C(OCC(OC(=O)CCCCCCCC=CCCCCCCCC)COP(=O)([O-])OCC[N+](C)(C)C)CCCCCCCCCCCCCC</t>
  </si>
  <si>
    <t>790.55933:1027971 791.56399:494498 792.56866:136160</t>
  </si>
  <si>
    <t>PC O-34:1|PC O-18:1_16:0</t>
  </si>
  <si>
    <t>C42H84NO7P</t>
  </si>
  <si>
    <t>IQLHTKSHLGLPMG-UHFFFAOYSA-N</t>
  </si>
  <si>
    <t>O=C(OC(COCCCCCCCCC=CCCCCCCCC)COP(=O)([O-])OCC[N+](C)(C)C)CCCCCCCCCCCCCCC</t>
  </si>
  <si>
    <t>790.59735:4955668 791.60202:2159230 792.60669:556666</t>
  </si>
  <si>
    <t>790.59784:3031724 791.60251:1290933 792.60717:343560</t>
  </si>
  <si>
    <t>MMPE 39:5|MMPE 17:0_22:5</t>
  </si>
  <si>
    <t>C45H80NO8P</t>
  </si>
  <si>
    <t>MMPE</t>
  </si>
  <si>
    <t>WUINGKMQNQKXGJ-UHFFFAOYSA-N</t>
  </si>
  <si>
    <t>O=C(OCC(OC(=O)CCCCCC=CCC=CCC=CCC=CCC=CCC)COP(=O)(O)OCCNC)CCCCCCCCCCCCCCCC</t>
  </si>
  <si>
    <t>792.55310:235036 793.55777:131884 794.56244:38393</t>
  </si>
  <si>
    <t>DMPE 38:5|DMPE 16:0_22:5</t>
  </si>
  <si>
    <t>NWMHWQQZOHCWEX-UHFFFAOYSA-N</t>
  </si>
  <si>
    <t>O=C(OCC(OC(=O)CCCCCC=CCC=CCC=CCC=CCC=CCC)COP(=O)(O)OCCN(C)C)CCCCCCCCCCCCCCC</t>
  </si>
  <si>
    <t>792.55499:162421 793.55966:75505 794.56433:18358</t>
  </si>
  <si>
    <t>PC 33:0|PC 16:0_17:0</t>
  </si>
  <si>
    <t>CNHYMCCAIZQMPA-UHFFFAOYSA-N</t>
  </si>
  <si>
    <t>O=C(OCC(OC(=O)CCCCCCCCCCCCCCCC)COP(=O)([O-])OCC[N+](C)(C)C)CCCCCCCCCCCCCCC</t>
  </si>
  <si>
    <t>792.57520:289881 793.57986:129171 794.58453:35751</t>
  </si>
  <si>
    <t>PC O-34:0|PC O-18:0_16:0</t>
  </si>
  <si>
    <t>C42H86NO7P</t>
  </si>
  <si>
    <t>GTFLTTXDLGEBAI-UHFFFAOYSA-N</t>
  </si>
  <si>
    <t>O=C(OC(COCCCCCCCCCCCCCCCCCC)COP(=O)([O-])OCC[N+](C)(C)C)CCCCCCCCCCCCCCC</t>
  </si>
  <si>
    <t>792.61072:210796 793.61539:98230 794.62005:27338</t>
  </si>
  <si>
    <t>DMPE 38:4|DMPE 18:0_20:4</t>
  </si>
  <si>
    <t>C45H82NO8P</t>
  </si>
  <si>
    <t>AXAFDKPGVPADQR-UHFFFAOYSA-N</t>
  </si>
  <si>
    <t>O=C(OCC(OC(=O)CCCCCCC=CCC=CCC=CCC=CCC)COP(=O)(O)OCCN(C)C)CCCCCCCCCCCCCCCCC</t>
  </si>
  <si>
    <t>794.56860:3658235 795.57327:1851053 796.57794:501875</t>
  </si>
  <si>
    <t>DMPE 38:4|DMPE 18:1_20:3</t>
  </si>
  <si>
    <t>VTCSSEUQSXBXTL-UHFFFAOYSA-N</t>
  </si>
  <si>
    <t>O=C(OCC(OC(=O)CCCCCCCCCC=CCC=CCC=CCC)COP(=O)(O)OCCN(C)C)CCCCCCCC=CCCCCCCCC</t>
  </si>
  <si>
    <t>794.56836:224637 795.57303:111153 796.57769:30556</t>
  </si>
  <si>
    <t>794.56879:3337548 795.57345:1700249 796.57812:477201</t>
  </si>
  <si>
    <t>DMPE 38:4|DMPE 18:2_20:2</t>
  </si>
  <si>
    <t>MIAZMVWROQDOJE-UHFFFAOYSA-N</t>
  </si>
  <si>
    <t>O=C(OCC(OC(=O)CCCCCCCCCC=CCC=CCCCCC)COP(=O)(O)OCCN(C)C)CCCCCCCC=CCC=CCCCCC</t>
  </si>
  <si>
    <t>794.56952:50318 795.57419:26437 796.57885:8422</t>
  </si>
  <si>
    <t>DMPE 38:3|DMPE 20:1_18:2</t>
  </si>
  <si>
    <t>C45H84NO8P</t>
  </si>
  <si>
    <t>FGCFFJUFNPRVRE-UHFFFAOYSA-N</t>
  </si>
  <si>
    <t>O=C(OCC(OC(=O)CCCCCCCC=CCC=CCCCCC)COP(=O)(O)OCCN(C)C)CCCCCCCCCC=CCCCCCCCC</t>
  </si>
  <si>
    <t>796.58301:170330 797.58768:86840 798.59234:20895</t>
  </si>
  <si>
    <t>PE 40:3|PE 18:0_22:3</t>
  </si>
  <si>
    <t>FWFYKTALQSTAHK-UHFFFAOYSA-N</t>
  </si>
  <si>
    <t>O=C(OCC(OC(=O)CCCCCCCCC=CCC=CCC=CCCCCC)COP(=O)(O)OCCN)CCCCCCCCCCCCCCCCC</t>
  </si>
  <si>
    <t>796.58466:45486 797.58932:24279 798.59399:6408</t>
  </si>
  <si>
    <t>DMPE 38:3|DMPE 18:0_20:3</t>
  </si>
  <si>
    <t>CRKJEYXHYMVIOI-UHFFFAOYSA-N</t>
  </si>
  <si>
    <t>O=C(OCC(OC(=O)CCCCCCCCCC=CCC=CCC=CCC)COP(=O)(O)OCCN(C)C)CCCCCCCCCCCCCCCCC</t>
  </si>
  <si>
    <t>796.58704:335467 797.59170:168371 798.59637:46897</t>
  </si>
  <si>
    <t>796.58429:87646 797.58896:44153 798.59363:10840</t>
  </si>
  <si>
    <t>HexCer 41:1;O2|HexCer 18:1;O2/23:0</t>
  </si>
  <si>
    <t>C47H91NO8</t>
  </si>
  <si>
    <t>SJGWLQDELUWRDA-UHFFFAOYSA-N</t>
  </si>
  <si>
    <t>O=C(NC(COC1OC(CO)C(O)C(O)C1O)C(O)C=CCCCCCCCCCCCCC)CCCCCCCCCCCCCCCCCCCCCC</t>
  </si>
  <si>
    <t>796.66602:134265 797.67068:64642 798.67535:16463</t>
  </si>
  <si>
    <t>PC 34:4|PC 14:0_20:4</t>
  </si>
  <si>
    <t>C42H76NO8P</t>
  </si>
  <si>
    <t>BXZPYXMUABUWBT-UHFFFAOYSA-N</t>
  </si>
  <si>
    <t>O=C(OCC(OC(=O)CCCCCCC=CCC=CCC=CCC=CCC)COP(=O)([O-])OCC[N+](C)(C)C)CCCCCCCCCCCCC</t>
  </si>
  <si>
    <t>798.52759:381982 799.53226:166050 800.53692:0</t>
  </si>
  <si>
    <t>PE O-42:9|PE O-20:3_22:6</t>
  </si>
  <si>
    <t>C47H78NO7P</t>
  </si>
  <si>
    <t>APZGHQQLHRPDJJ-UHFFFAOYSA-N</t>
  </si>
  <si>
    <t>O=C(OC(COCCCCCCCCCCC=CCC=CCC=CCC)COP(=O)(O)OCCN)CCC=CCC=CCC=CCC=CCC=CCC=CCC</t>
  </si>
  <si>
    <t>798.53967:46298 799.54434:23980 800.54901:0</t>
  </si>
  <si>
    <t>PC O-35:4|PC O-15:0_20:4</t>
  </si>
  <si>
    <t>QCFSAKCFFNJJJJ-UHFFFAOYSA-N</t>
  </si>
  <si>
    <t>O=C(OC(COCCCCCCCCCCCCCCC)COP(=O)([O-])OCC[N+](C)(C)C)CCCCCCC=CCC=CCC=CCC=CCC</t>
  </si>
  <si>
    <t>798.56366:55678 799.56833:21925 800.57300:0</t>
  </si>
  <si>
    <t>DMPE 38:2|DMPE 18:0_20:2</t>
  </si>
  <si>
    <t>C45H86NO8P</t>
  </si>
  <si>
    <t>PTTWAPOWQBASNI-UHFFFAOYSA-N</t>
  </si>
  <si>
    <t>O=C(OCC(OC(=O)CCCCCCCCCC=CCC=CCCCCC)COP(=O)(O)OCCN(C)C)CCCCCCCCCCCCCCCCC</t>
  </si>
  <si>
    <t>798.59973:180923 799.60440:80732 800.60907:0</t>
  </si>
  <si>
    <t>SM 38:3;O2</t>
  </si>
  <si>
    <t>C43H83N2O6P</t>
  </si>
  <si>
    <t>INMXXCQKDLIUKI-UHFFFAOYSA-N</t>
  </si>
  <si>
    <t>O=C(NC(COP(=O)([O-])OCC[N+](C)(C)C)C(O)C=CCCC=CCCC)CCCCCCCCCCCCCCCC=CCCCCCCCC</t>
  </si>
  <si>
    <t>799.59552:70102 800.60019:0 801.60486:0</t>
  </si>
  <si>
    <t>800 to 950</t>
  </si>
  <si>
    <t>PC 34:3|PC 14:0_20:3</t>
  </si>
  <si>
    <t>C42H78NO8P</t>
  </si>
  <si>
    <t>HQHLCPLWRWZWII-UHFFFAOYSA-N</t>
  </si>
  <si>
    <t>O=C(OCC(OC(=O)CCCCCCCCCC=CCC=CCC=CCC)COP(=O)([O-])OCC[N+](C)(C)C)CCCCCCCCCCCCC</t>
  </si>
  <si>
    <t>N_Serum_8Xdil_800_850</t>
  </si>
  <si>
    <t>800.53687:49936 801.54153:12017 802.54620:1195</t>
  </si>
  <si>
    <t>50.54258:777 51.67948:837 55.90928:790 57.85167:823 57.86941:728 59.27669:909 59.95753:722 65.69830:768 77.46964:901 106.06251:862 120.27634:831 126.36620:866 131.47769:829 159.94489:995 161.16750:907 161.55795:837 161.56950:910 161.58160:1048 161.61572:1142 161.63408:921 161.64517:1113 163.05984:821 169.25922:1124 174.00685:788 187.50925:806 199.29118:865 226.60202:40282 226.60988:11032 227.20219:2297 228.20563:938 229.20850:1018 243.88483:895 303.23355:5106 304.23700:5453 305.23993:3994 306.73016:802 356.89584:764 468.96262:1223 597.15228:778 612.44379:950 652.78180:830 732.75311:1226 740.51434:4299 748.80463:1013</t>
  </si>
  <si>
    <t>PC 34:3|PC 16:1_18:2</t>
  </si>
  <si>
    <t>QJWDAOSZZYVBJZ-UHFFFAOYSA-N</t>
  </si>
  <si>
    <t>O=C(OCC(OC(=O)CCCCCCCC=CCC=CCCCCC)COP(=O)([O-])OCC[N+](C)(C)C)CCCCCCCC=CCCCCCC</t>
  </si>
  <si>
    <t>800.54559:1572528 801.55026:896390 802.55493:256039</t>
  </si>
  <si>
    <t>54.59225:535 54.59399:541 61.98815:602 64.05092:538 65.81082:542 72.75547:538 74.91254:601 77.47131:539 78.55473:523 78.95893:801 88.53134:490 90.93473:538 92.98399:490 118.48156:543 134.11038:525 145.76520:567 149.58075:556 150.65515:544 155.26947:468 160.73148:831 160.74071:612 160.82471:503 168.04321:6114 175.58382:562 224.06956:4086 226.59845:3810 226.60634:30147 232.30963:553 253.21754:77770 279.23328:196330 280.23697:937 291.81531:615 328.01608:675 439.33414:575 460.28439:1690 478.29514:10481 486.29953:1297 504.31183:1092 513.09247:541 732.67792:795 740.52405:60456 800.54523:1979</t>
  </si>
  <si>
    <t>PE O-42:8|PE O-20:2_22:6</t>
  </si>
  <si>
    <t>C47H80NO7P</t>
  </si>
  <si>
    <t>LAABNPUZUBFMMQ-UHFFFAOYSA-N</t>
  </si>
  <si>
    <t>O=C(OC(COCCCCCCCCCCC=CCC=CCCCCC)COP(=O)(O)OCCN)CCC=CCC=CCC=CCC=CCC=CCC=CCC</t>
  </si>
  <si>
    <t>800.56030:90194 801.56497:50606 802.56964:71806</t>
  </si>
  <si>
    <t>51.52682:819 55.51543:750 56.74047:803 69.51693:882 72.73998:816 79.11684:850 80.61638:872 99.08208:909 103.29070:867 112.14211:847 140.01193:1065 160.89749:801 183.18066:912 186.00475:794 189.37070:849 202.14746:781 221.96121:977 226.60022:21226 226.60829:27271 229.19632:1462 279.23398:1497 281.24890:7838 283.24423:5533 327.23380:17046 381.50735:830 385.59924:980 401.43970:921 407.71558:948 490.33182:4035 551.20813:801 565.64734:913 578.45282:871 642.48834:926 732.72223:1079 742.54053:1104 800.56140:2614</t>
  </si>
  <si>
    <t>PC O-35:3|PC O-17:1_18:2</t>
  </si>
  <si>
    <t>IVPNJVAEWQNOTJ-UHFFFAOYSA-N</t>
  </si>
  <si>
    <t>O=C(OC(COCCCCCCCCC=CCCCCCCC)COP(=O)([O-])OCC[N+](C)(C)C)CCCCCCCC=CCC=CCCCCC</t>
  </si>
  <si>
    <t>N_Serum_4Xdil_800_850_R5</t>
  </si>
  <si>
    <t>800.58276:181607 801.58743:0 802.59210:0</t>
  </si>
  <si>
    <t>50.85229:960 52.12716:835 52.25205:850 52.84752:759 53.32647:843 54.17164:852 55.73738:796 61.55681:780 62.08670:862 62.79590:889 74.32280:933 78.95905:3515 87.89758:926 88.47967:873 100.20169:806 101.60887:801 106.31310:901 110.57826:808 112.28910:823 118.78822:895 120.01653:870 140.65669:972 154.31931:782 157.24623:795 159.35191:765 160.25432:1062 161.37451:1095 161.40997:1057 161.41435:1047 161.76302:860 168.04338:7482 226.60646:53251 267.40265:995 276.30173:1015 279.22369:1836 279.23346:35024 311.22430:925 352.22931:1002 460.31998:1288 478.21564:831 478.33249:2671 511.93323:1067 537.48120:947 563.12695:915 732.11987:841 740.56116:12491 741.59204:17718</t>
  </si>
  <si>
    <t>800.58289:129462 801.58755:73127 802.59222:17860</t>
  </si>
  <si>
    <t>53.53342:921 63.01551:754 72.57220:972 75.53169:802 78.84975:942 81.54893:814 83.89697:805 84.09079:802 87.56998:928 95.31086:847 129.95157:851 131.63634:1035 134.83401:831 161.82092:822 162.69940:903 162.71994:918 162.78961:1255 162.81149:907 162.81795:834 168.04353:1252 189.10274:758 192.24495:723 194.11401:781 200.21259:848 213.28236:884 225.95851:765 226.14706:858 226.60164:36687 226.60959:14397 239.24141:768 279.23337:53619 306.56885:838 316.54446:936 336.68289:913 352.04047:899 364.01837:882 450.58826:853 460.32010:1581 478.33151:3554 532.67310:897 740.56134:17280</t>
  </si>
  <si>
    <t>800.58252:99303 801.58719:0 802.59186:0</t>
  </si>
  <si>
    <t>56.00825:598 57.88230:517 59.59361:441 60.33818:507 60.67105:536 61.01280:505 63.57649:517 66.15181:545 73.15022:469 80.62115:555 80.79743:504 85.88480:496 88.74514:626 91.10406:602 91.46344:487 97.43594:532 152.56906:521 153.13171:466 160.85791:710 160.87975:609 160.92830:747 168.04333:1243 176.12770:585 226.59952:8829 279.23328:14550 296.17206:497 300.33057:616 300.90088:467 304.30295:527 311.94614:523 366.58499:505 421.02942:602 478.33224:1317 664.90179:524 732.73657:663 740.55994:4014 741.59473:790</t>
  </si>
  <si>
    <t>SM 38:2;O2|SM 18:2;O2/20:0</t>
  </si>
  <si>
    <t>C43H85N2O6P</t>
  </si>
  <si>
    <t>RIQUZAZTFMJZDT-UHFFFAOYSA-N</t>
  </si>
  <si>
    <t>O=C(NC(COP(=O)([O-])OCC[N+](C)(C)C)C(O)C=CCCC=CCCCCCCCCC)CCCCCCCCCCCCCCCCCCC</t>
  </si>
  <si>
    <t>801.61316:1027762 802.61783:531638 803.62249:140258</t>
  </si>
  <si>
    <t>50.06692:615 53.14118:538 53.78656:481 57.25950:486 57.85965:605 65.40884:545 65.67722:508 67.11002:543 68.76562:559 71.60522:709 77.66219:598 78.04278:568 78.95893:20400 80.10015:532 81.65296:529 88.08327:550 92.86876:608 94.83276:546 115.00541:601 119.13897:540 122.98540:3485 138.14867:557 160.19040:562 160.28041:747 161.28088:581 161.29341:486 161.29816:742 161.36282:610 161.38617:564 163.47215:526 164.45532:484 168.04338:78105 175.19479:535 191.02740:521 226.60704:31959 250.88129:505 258.09647:564 278.00110:523 279.23355:1014 280.07867:504 280.23694:608 336.94925:562 420.66760:544 424.35385:533 436.83490:573 447.30136:1101 456.24164:514 535.73981:619 555.23535:612 608.88483:607 650.05579:524 670.51862:839 672.15161:577 696.70538:658 741.59259:191740 742.53912:1440 742.59784:768 791.40399:567 794.12317:612 801.61505:2940</t>
  </si>
  <si>
    <t>PC 34:2|PC 16:0_18:2</t>
  </si>
  <si>
    <t>JLPULHDHAOZNQI-UHFFFAOYSA-N</t>
  </si>
  <si>
    <t>O=C(OCC(OC(=O)CCCCCCCC=CCC=CCCCCC)COP(=O)([O-])OCC[N+](C)(C)C)CCCCCCCCCCCCCCC</t>
  </si>
  <si>
    <t>N_Serum_8Xdil_800_850_R3</t>
  </si>
  <si>
    <t>802.55963:139030256 803.56430:67893792 804.56897:19293370</t>
  </si>
  <si>
    <t>50.19763:902 52.61037:764 56.02751:757 65.00105:922 66.67065:909 78.95882:10470 81.53530:873 85.15851:757 89.09125:917 96.09617:774 98.29803:839 111.06622:857 122.98524:989 150.06046:837 155.33855:944 162.80084:914 162.85635:1260 162.86086:1168 163.80623:873 164.08946:888 168.04317:25797 169.04654:3237 175.67842:1072 200.22630:721 226.59846:15845 226.60641:35967 249.18604:905 255.23311:6427 261.97842:943 267.32410:1064 279.23328:16023 280.23642:1153 280.65454:804 281.24911:1805 289.55444:825 307.79190:993 319.76144:786 327.23270:1218 328.74799:893 341.37946:913 410.25534:947 422.61728:789 474.99896:905 480.31158:1340 489.79953:1100 600.88934:925 732.63306:1109 741.59241:3484 742.54254:3718 742.59521:72436</t>
  </si>
  <si>
    <t>PC 34:2|PC 16:1_18:1</t>
  </si>
  <si>
    <t>ZRCWDIULNHKQRD-UHFFFAOYSA-N</t>
  </si>
  <si>
    <t>O=C(OCC(OC(=O)CCCCCCCC=CCCCCCCCC)COP(=O)([O-])OCC[N+](C)(C)C)CCCCCCCC=CCCCCCC</t>
  </si>
  <si>
    <t>802.56055:127158704 803.56521:62130428 804.56988:17579218</t>
  </si>
  <si>
    <t>50.77610:482 51.78889:630 52.31459:548 55.16123:471 55.25318:450 57.06519:505 60.04155:528 60.68956:567 61.27492:534 62.03913:677 65.39661:474 65.91212:501 67.87317:479 70.55242:601 74.62747:563 75.40755:668 79.27247:555 80.54300:504 81.09209:516 84.95184:518 86.60011:522 87.21030:562 89.00172:500 93.64297:492 129.75694:542 152.90335:543 161.57353:526 161.81227:598 162.42288:490 162.74443:562 166.46533:506 168.04333:3241 177.01663:631 178.71370:543 196.70242:513 224.06973:2256 226.59827:1789 226.60451:32278 253.21777:37212 255.23343:9344 279.23352:27869 281.24911:84886 374.40454:514 408.45694:611 460.28378:884 468.89981:581 478.29556:4598 480.31161:1287 488.31641:891 642.95197:591 742.54022:34849 753.52856:591 802.56268:1068</t>
  </si>
  <si>
    <t>PE O-42:7|PE O-20:1_22:6</t>
  </si>
  <si>
    <t>C47H82NO7P</t>
  </si>
  <si>
    <t>YKFYFJNIFJZVAN-UHFFFAOYSA-N</t>
  </si>
  <si>
    <t>O=C(OC(COCCCCCCCCCCC=CCCCCCCCC)COP(=O)(O)OCCN)CCC=CCC=CCC=CCC=CCC=CCC=CCC</t>
  </si>
  <si>
    <t>802.57727:225262 803.58194:122798 804.58661:55691</t>
  </si>
  <si>
    <t>58.95906:786 59.01377:1382 60.24230:817 64.71409:1017 69.37214:972 73.37529:750 75.77401:807 88.60639:763 89.02441:1528 90.35028:836 90.68224:756 91.80310:845 93.22039:737 97.35910:993 101.02445:1300 104.23947:953 109.51782:958 119.03490:1143 122.73904:821 131.00848:835 131.62842:833 133.10246:917 139.89223:1035 140.01215:845 158.97551:1033 181.66008:940 196.03859:1746 197.81323:750 226.60213:42505 226.61009:9354 229.19656:2280 240.06516:977 253.59343:930 255.23364:3549 279.23331:7323 281.24960:5751 283.24359:15077 283.26498:1630 295.30078:1253 327.23358:41869 333.10345:835 361.19424:866 460.49121:800 474.33746:3779 492.34717:14222 594.57434:1075 694.96667:948 732.72217:1199 742.54034:3446 756.62769:2011 802.53217:1130 802.57666:9125</t>
  </si>
  <si>
    <t>PC O-35:2|PC O-17:1_18:1</t>
  </si>
  <si>
    <t>OHSFNZCZNMJYDD-UHFFFAOYSA-N</t>
  </si>
  <si>
    <t>O=C(OC(COCCCCCCCCC=CCCCCCCC)COP(=O)([O-])OCC[N+](C)(C)C)CCCCCCCC=CCCCCCCCC</t>
  </si>
  <si>
    <t>802.59851:88895 803.60318:50867 804.60785:8598</t>
  </si>
  <si>
    <t>53.20588:835 53.61364:789 61.42831:783 62.04221:865 62.86709:751 65.21391:840 67.77595:921 70.85313:785 80.14797:763 85.52477:847 88.64693:951 89.33047:865 100.68142:927 124.57013:765 142.69499:868 145.90041:774 149.32840:947 149.66423:743 153.18196:792 158.52570:776 163.84631:792 163.86974:1047 163.90675:1085 164.03804:928 165.49852:836 168.04349:972 181.19409:884 199.23444:820 213.73209:860 221.71860:809 226.60040:6581 226.60831:45963 255.23354:5868 258.06177:974 264.72687:821 277.76443:880 279.23349:15309 281.24918:38318 283.65573:952 303.23346:6246 327.73795:923 345.66531:856 382.78122:900 397.49664:934 478.33264:2983 480.31171:1396 555.79736:965 665.64838:964 732.65430:924 742.54010:3452 742.57788:11353</t>
  </si>
  <si>
    <t>SM 38:1;O2|SM 16:1;O2/22:0</t>
  </si>
  <si>
    <t>C43H87N2O6P</t>
  </si>
  <si>
    <t>XNBRFUCJENKXCT-UHFFFAOYSA-N</t>
  </si>
  <si>
    <t>O=C(NC(COP(=O)([O-])OCC[N+](C)(C)C)C(O)C=CCCCCCCCCCCC)CCCCCCCCCCCCCCCCCCCCC</t>
  </si>
  <si>
    <t>803.62872:3125472 804.63339:1551734 805.63806:428343</t>
  </si>
  <si>
    <t>57.13152:996 57.24243:1074 68.04610:960 68.56282:801 69.52715:1019 70.23050:989 70.37917:944 70.96661:855 74.24403:906 74.37907:1065 78.95890:46625 81.18699:1029 85.87590:799 91.93301:883 94.14354:1079 95.36803:985 96.96967:1142 122.98528:5680 145.57751:829 154.60739:958 161.12044:1158 161.12865:1517 161.16777:1181 161.17189:1736 161.17642:949 161.20654:1478 161.22575:915 161.23404:1158 168.04335:166750 176.43663:897 189.96457:888 226.60359:33797 226.61166:19677 272.55603:841 317.25018:1048 379.58749:1094 421.28442:1160 449.31680:1128 470.10223:993 493.14139:985 612.57227:968 631.82605:1075 636.15070:1188 672.53601:2139 743.60809:403364 744.55646:2524 744.61255:1259 763.74658:968 803.63031:6244</t>
  </si>
  <si>
    <t>PC 34:1|PC 16:0_18:1</t>
  </si>
  <si>
    <t>WTJKGGKOPKCXLL-UHFFFAOYSA-N</t>
  </si>
  <si>
    <t>O=C(OCC(OC(=O)CCCCCCCC=CCCCCCCCC)COP(=O)([O-])OCC[N+](C)(C)C)CCCCCCCCCCCCCCC</t>
  </si>
  <si>
    <t>804.57617:20354184 805.58084:9785176 806.58551:2753676</t>
  </si>
  <si>
    <t>55.70709:979 69.08523:995 73.34026:1019 78.95882:1988 82.98405:1026 84.57158:1105 88.43823:1062 99.97211:997 107.05830:972 114.25462:1101 117.23264:946 121.68578:913 157.12411:991 161.31035:1022 168.04335:19903 220.83183:1136 224.06966:13005 226.60039:3309 226.60703:62704 241.04677:1059 253.21738:1209 255.23335:281283 263.40988:1089 281.24908:757877 328.88867:1172 328.90149:1248 380.25345:1095 391.22711:3446 412.79291:1257 417.24246:1295 422.76242:1174 426.80655:1087 462.30069:10260 480.28922:2092 480.31100:40645 480.33206:2094 488.31693:3791 506.32626:7878 526.85706:1133 533.16223:1234 696.15845:1191 724.57263:1141 732.67188:1427 744.55597:217214 745.50775:1249 804.57599:10154 807.40271:1290</t>
  </si>
  <si>
    <t>N_Serum_4Xdil_850_950_R5</t>
  </si>
  <si>
    <t>804.57599:108079728 805.58066:52497596 806.58532:14329095</t>
  </si>
  <si>
    <t>50.74737:935 51.09010:763 51.68502:865 52.69868:942 53.21310:895 54.77011:756 57.67863:903 58.02760:779 60.76796:853 67.01324:891 68.13467:970 70.58304:874 86.39476:754 90.45496:733 91.51933:914 99.22672:901 101.69363:783 105.55502:890 112.11087:865 155.12534:845 158.08018:848 161.16740:1014 161.45198:842 161.46999:1275 161.49352:1686 161.50285:972 161.50732:876 174.93542:875 226.60611:54877 233.40015:882 255.23315:13257 256.23691:1709 276.60077:850 279.23328:24093 280.23648:4191 281.24008:1974 281.24893:23965 291.55994:818 303.23358:1731 328.60114:861 337.14682:854 370.10095:912 393.76230:1115 457.06146:983 480.31064:1386 492.34647:1667 627.03699:947 635.59253:1053 639.28040:841 681.49500:998 686.01160:993 744.55505:10803 749.47266:1064 754.57471:6437 756.87793:958</t>
  </si>
  <si>
    <t>PE O-42:6|PE O-22:2_20:4</t>
  </si>
  <si>
    <t>C47H84NO7P</t>
  </si>
  <si>
    <t>FVCPWAWPGKONEA-UHFFFAOYSA-N</t>
  </si>
  <si>
    <t>O=C(OC(COCCCCCCCCCCCCC=CCC=CCCCCC)COP(=O)(O)OCCN)CCCCCCC=CCC=CCC=CCC=CCC</t>
  </si>
  <si>
    <t>804.59357:129539 805.59823:68020 806.60290:20683</t>
  </si>
  <si>
    <t>54.84314:579 55.93172:541 56.92678:488 62.27344:512 74.10671:506 78.02477:534 78.95903:1602 79.62769:500 84.99475:493 95.00735:519 107.59739:428 108.99743:533 113.34386:476 116.93658:555 126.42455:591 140.01201:1251 155.69499:562 162.71164:775 162.75772:513 162.77686:779 168.04356:728 170.71275:504 180.71519:573 196.03859:964 205.19676:488 220.85342:609 226.59840:3347 226.60620:29125 255.23373:2128 259.24393:1371 281.24905:6757 303.23361:31598 329.24933:7056 369.20804:603 403.13419:521 431.66074:534 500.35223:2345 518.36285:4550 597.30988:506 640.77924:735 680.00085:609 700.67871:608 705.46820:567 711.03534:499 744.55408:2027 744.61206:2862 804.59332:4563</t>
  </si>
  <si>
    <t>SM 38:0;O2|SM 16:0;O2/22:0</t>
  </si>
  <si>
    <t>C43H89N2O6P</t>
  </si>
  <si>
    <t>GNOXDGYZVABQJZ-UHFFFAOYSA-N</t>
  </si>
  <si>
    <t>O=C(NC(COP(=O)([O-])OCC[N+](C)(C)C)C(O)CCCCCCCCCCCCC)CCCCCCCCCCCCCCCCCCCCC</t>
  </si>
  <si>
    <t>805.64484:504840 806.64950:248626 807.65417:74496</t>
  </si>
  <si>
    <t>50.51984:526 54.91751:528 55.10608:585 56.53795:515 59.55869:476 64.87807:560 70.32910:521 75.84407:500 77.54752:490 78.95892:10268 85.60172:514 85.79120:480 93.61088:485 96.29485:488 109.01443:513 122.98532:550 132.05437:563 133.86197:552 147.44823:517 157.77121:549 162.63008:561 162.75439:655 168.04340:37827 184.75775:649 193.44336:543 217.13449:556 222.75450:521 226.16679:571 226.60454:33788 241.01080:1591 255.23329:1354 255.32138:518 281.24921:2162 282.25284:1598 327.23355:691 422.78400:524 423.30136:488 541.38000:549 627.52216:1766 737.62048:554 745.62396:93198 746.57245:790 746.62579:614 805.64551:1713</t>
  </si>
  <si>
    <t>PC 34:0|PC 16:0_18:0</t>
  </si>
  <si>
    <t>C42H84NO8P</t>
  </si>
  <si>
    <t>PZNPLUBHRSSFHT-UHFFFAOYSA-N</t>
  </si>
  <si>
    <t>O=C(OCC(OC(=O)CCCCCCCCCCCCCCCCC)COP(=O)([O-])OCC[N+](C)(C)C)CCCCCCCCCCCCCCC</t>
  </si>
  <si>
    <t>806.59198:723108 807.59665:370594 808.60132:96451</t>
  </si>
  <si>
    <t>55.22215:516 63.08155:528 64.59891:529 69.83809:583 78.50832:554 78.95893:1134 81.60004:539 84.29666:484 88.40269:585 98.09086:484 98.76605:561 104.68598:561 116.83963:574 117.98511:593 133.70816:562 160.50569:602 160.55736:908 160.61980:518 166.10164:519 168.04327:6520 169.04681:684 197.36490:595 215.93822:559 224.06944:2347 226.60185:8143 226.60982:24550 255.23334:166058 283.26471:90623 334.46558:578 351.94772:521 353.80014:577 462.30008:1598 480.31146:3406 490.33182:2472 495.07355:540 508.34222:9652 559.52405:587 563.30933:583 628.52600:626 676.41229:569 689.05261:626 732.81256:565 746.57196:61978 746.61707:5030 747.51758:675 806.59204:2948</t>
  </si>
  <si>
    <t>N_Serum_8Xdil_800_850_R2</t>
  </si>
  <si>
    <t>806.59784:342154 807.60251:215103 808.60717:72338</t>
  </si>
  <si>
    <t>52.11745:1663 55.37094:1608 57.89697:1736 59.23573:1565 60.33598:1720 62.75658:1415 63.80177:1480 65.67827:1498 77.83956:2383 78.65474:1569 78.95895:7635 93.80939:1650 94.32137:1521 96.87088:1527 99.36118:1814 108.18993:1895 108.98399:1667 133.72469:1566 144.05568:1672 149.61058:1384 152.99625:2456 159.97859:1987 159.98268:2136 160.01559:2105 164.36594:1859 166.23347:2021 168.04335:34165 169.04666:3152 170.04747:2188 186.75047:1821 221.45966:2001 224.06958:15262 226.60664:112772 255.23331:689803 256.23630:2595 260.67749:1621 283.26471:411910 318.22153:1537 400.56192:2030 419.25668:1662 462.30048:7313 480.30991:11525 490.33160:7099 508.34232:34964 732.66345:1637 732.70569:2046 744.61279:5051 745.61340:4486 746.57220:267672 746.61713:45205 747.51996:2545 806.59271:14127</t>
  </si>
  <si>
    <t>PE O-42:5|PE O-22:1_20:4</t>
  </si>
  <si>
    <t>C47H86NO7P</t>
  </si>
  <si>
    <t>XQCNTAJVQOPCHL-UHFFFAOYSA-N</t>
  </si>
  <si>
    <t>O=C(OC(COCCCCCCCCCCCCC=CCCCCCCCC)COP(=O)(O)OCCN)CCCCCCC=CCC=CCC=CCC=CCC</t>
  </si>
  <si>
    <t>806.60693:151443 807.61160:85345 808.61627:25497</t>
  </si>
  <si>
    <t>50.87511:588 52.89579:551 59.58723:482 61.71110:471 63.46711:489 64.46069:496 71.53795:501 71.88551:487 77.06448:490 77.13789:660 79.01906:536 80.57106:457 86.28383:532 91.41908:491 100.93382:610 102.20658:542 102.60442:487 106.19090:557 113.20786:486 126.54336:558 135.16776:526 135.51843:547 136.27954:495 140.01202:1254 149.12878:545 158.97557:774 161.77751:580 161.78726:642 161.80901:516 161.82257:583 161.89371:630 161.89810:614 162.90483:499 176.85680:529 191.47716:561 196.03864:987 205.19662:542 208.08891:575 221.84148:611 223.74344:524 226.59990:11697 233.77136:480 248.99786:533 259.24353:2709 271.58688:552 302.25092:530 303.23355:46661 319.89096:556 332.49872:545 476.02878:560 490.04156:546 496.65628:565 502.36807:2191 502.96942:523 510.23810:563 520.37860:6078 523.01813:630 623.04822:616 628.52545:1192 806.60791:5630</t>
  </si>
  <si>
    <t>806.60913:64038 807.61380:28883 808.61847:5901</t>
  </si>
  <si>
    <t>51.32311:778 51.47779:958 57.56015:835 60.77850:898 61.22275:1004 61.64785:815 61.98819:5421 69.62049:953 72.43832:841 74.19965:799 80.30585:858 84.80772:847 86.12416:742 87.74986:820 89.27241:836 91.70460:765 91.99862:824 96.86314:797 119.10139:810 124.28253:880 128.25392:976 133.64456:851 136.96989:846 137.10593:760 145.35832:786 162.77434:909 162.81041:866 162.82266:1260 162.87418:963 162.90430:810 162.91197:1310 168.04362:1173 200.49632:873 226.60454:54091 255.23308:1942 262.38367:833 279.23334:874 281.24902:2621 283.26511:3794 298.05148:890 303.23343:12104 316.21024:963 329.24924:6849 369.82977:980 377.29791:859 388.80634:1053 396.35648:869 520.37970:2172 732.78107:958 746.56921:1771 806.60736:2870</t>
  </si>
  <si>
    <t>PI 32:1|PI 16:0_16:1</t>
  </si>
  <si>
    <t>C41H77O13P</t>
  </si>
  <si>
    <t>PI</t>
  </si>
  <si>
    <t>QAWXBJDYTIBLRK-UHFFFAOYSA-N</t>
  </si>
  <si>
    <t>O=C(OCC(OC(=O)CCCCCCCC=CCCCCCC)COP(=O)(O)OC1C(O)C(O)C(O)C(O)C1O)CCCCCCCCCCCCCCC</t>
  </si>
  <si>
    <t>807.50403:224862 808.50870:99150 809.51336:28186</t>
  </si>
  <si>
    <t>60.03302:874 60.63953:815 67.46204:891 71.68312:805 77.44244:836 81.60428:881 85.10121:767 91.23150:781 92.82868:797 93.75069:879 93.80878:845 108.64204:807 117.61807:996 117.69125:837 127.67347:877 132.06102:870 146.55127:783 152.99573:994 153.74315:860 154.82921:913 156.34332:915 161.56532:887 161.62265:876 161.65306:1107 161.66447:956 161.67624:1075 161.68977:1018 167.49567:851 194.56256:839 226.60204:41645 226.60997:10518 241.01224:4286 253.21796:4007 255.23364:3599 369.28906:886 391.22644:1786 535.66034:824 617.10840:965 732.74188:1085 765.54694:954 769.18170:914 807.50415:4088</t>
  </si>
  <si>
    <t>PC O-36:6|PC O-16:1_20:5</t>
  </si>
  <si>
    <t>C44H78NO7P</t>
  </si>
  <si>
    <t>YHOIJVHLDXTLSX-UHFFFAOYSA-N</t>
  </si>
  <si>
    <t>O=C(OC(COCCCCCCCCC=CCCCCCC)COP(=O)([O-])OCC[N+](C)(C)C)CCCC=CCC=CCC=CCC=CCC=CCC</t>
  </si>
  <si>
    <t>808.55084:165123 809.55551:83333 810.56018:28732</t>
  </si>
  <si>
    <t>51.25244:549 55.00677:505 55.58264:459 56.33696:551 56.88622:448 57.28706:530 59.62704:487 63.34518:498 65.51920:475 65.65182:528 65.85858:653 67.54318:576 92.27390:513 101.45226:612 110.44904:464 130.49641:543 160.72166:578 160.77545:634 160.80241:622 160.87250:489 217.99696:550 226.59767:1176 226.60454:32023 233.60603:510 254.95740:561 257.22803:3393 279.23370:1296 280.23694:1388 281.18747:530 301.21799:20155 303.23389:2328 312.67218:505 368.76187:481 375.77429:503 446.30612:1705 462.30328:484 464.31604:3965 468.96811:546 617.79620:601 732.74976:616 740.51508:498 748.52930:9770</t>
  </si>
  <si>
    <t>PE O-42:4|PE O-24:2_18:2</t>
  </si>
  <si>
    <t>C47H88NO7P</t>
  </si>
  <si>
    <t>RBDLUKYJTUSHLA-UHFFFAOYSA-N</t>
  </si>
  <si>
    <t>O=C(OC(COCCCCCCCCCCCCC=CCC=CCCCCCCC)COP(=O)(O)OCCN)CCCCCCCC=CCC=CCCCCC</t>
  </si>
  <si>
    <t>808.62408:73532 809.62875:37381 810.63342:10724</t>
  </si>
  <si>
    <t>53.29298:804 65.80654:889 68.21667:919 68.67325:809 70.03143:891 74.11776:867 78.56889:790 80.85548:806 97.69183:876 107.02947:1000 112.98569:1687 127.15161:971 127.15452:1027 138.51567:889 143.32289:908 162.72610:901 163.18228:1108 163.26471:926 181.58762:897 226.60226:43380 226.61017:8667 279.23343:29161 281.24921:1986 303.23383:1937 355.91608:910 401.21451:902 407.74066:1126 479.29608:994 546.39301:2833 591.94873:824 609.03705:854 610.93127:878 630.33807:918 640.95770:979 808.62067:2512</t>
  </si>
  <si>
    <t>HexCer 42:2;O2|HexCer 18:1;O2/24:1</t>
  </si>
  <si>
    <t>C48H91NO8</t>
  </si>
  <si>
    <t>WBOZIXHPUPAOIA-UHFFFAOYSA-N</t>
  </si>
  <si>
    <t>O=C(NC(COC1OC(CO)C(O)C(O)C1O)C(O)C=CCCCCCCCCCCCCC)CCCCCCCCCCCCCC=CCCCCCCCC</t>
  </si>
  <si>
    <t>808.66809:291690 809.67276:156701 810.67743:43355</t>
  </si>
  <si>
    <t>51.88640:534 55.56633:511 59.01373:11967 59.01463:818 62.14132:506 62.40001:496 62.72241:487 63.25743:556 63.56916:493 63.83208:510 70.79978:510 71.01370:10669 73.02953:724 78.08951:501 78.67668:620 81.90823:519 83.01381:647 84.54791:525 84.96603:612 85.02950:1023 87.00871:799 89.02431:21652 91.43320:480 95.01388:696 101.02438:20568 106.13370:536 112.98560:990 113.02442:9061 119.03498:12599 125.02443:692 127.92900:511 129.89500:466 130.94450:489 131.03526:1115 141.61818:657 142.27295:633 143.03510:2399 149.04570:1247 152.61787:538 155.36447:592 161.00798:572 161.04610:2679 161.05093:554 162.06293:814 179.05646:5924 180.93730:544 201.19633:568 211.95061:442 226.60320:32993 226.61096:2218 226.83974:509 237.22281:1624 263.23828:978 282.84299:568 294.68466:527 347.33313:1143 364.35953:2074 365.34311:2983 390.37509:5334 406.36984:1228 468.96896:690 616.60480:1526 628.60541:775 646.61597:25899 703.95410:625 767.37433:575 808.66833:6923</t>
  </si>
  <si>
    <t>PI 32:0|PI 16:0_16:0</t>
  </si>
  <si>
    <t>C41H79O13P</t>
  </si>
  <si>
    <t>IBUKXRINTKQBRQ-UHFFFAOYSA-N</t>
  </si>
  <si>
    <t>O=C(OCC(OC(=O)CCCCCCCCCCCCCCC)COP(=O)(O)OC1C(O)C(O)C(O)C(O)C1O)CCCCCCCCCCCCCCC</t>
  </si>
  <si>
    <t>809.51978:178571 810.52444:77484 811.52911:22638</t>
  </si>
  <si>
    <t>58.39791:874 58.55313:982 58.72927:842 60.33251:950 61.37555:832 61.98829:1070 64.38950:774 67.76946:838 68.06993:895 70.32061:874 71.69660:973 80.18607:804 82.41818:982 92.34631:823 102.11144:886 115.20061:832 126.73571:891 127.07259:921 149.39354:848 151.03304:928 152.99622:2724 161.63141:970 161.73189:1241 204.36943:865 214.57687:903 223.00201:2384 226.60124:33055 226.60925:16660 226.61409:1835 227.20212:1014 241.01239:7953 255.23341:15260 259.02338:1020 269.93613:935 297.03873:1443 299.10117:830 301.21802:1232 304.04565:886 330.50418:809 333.53787:941 391.22610:5271 476.64355:908 523.15833:827 553.28027:4636 568.85828:922 571.29004:1377 578.51038:893 612.83575:952 631.20654:983 732.70740:1048 752.72943:852 809.51978:11020</t>
  </si>
  <si>
    <t>DMPE 40:10|DMPE 20:5_20:5</t>
  </si>
  <si>
    <t>C47H74NO8P</t>
  </si>
  <si>
    <t>AFJZBINYCCYDGR-UHFFFAOYSA-N</t>
  </si>
  <si>
    <t>O=C(OCC(OC(=O)CCCC=CCC=CCC=CCC=CCC=CCC)COP(=O)(O)OCCN(C)C)CCCC=CCC=CCC=CCC=CCC=CCC</t>
  </si>
  <si>
    <t>810.50555:43963 811.51022:31563 812.51489:0</t>
  </si>
  <si>
    <t>51.36834:538 54.42094:483 55.69332:527 61.55684:528 64.47338:567 90.94498:619 93.85596:484 96.32456:542 100.56493:526 112.01961:569 119.94732:554 121.38627:495 123.41610:475 138.54486:515 163.35077:592 163.42990:539 168.04359:669 181.31453:586 184.57558:525 217.23372:569 226.60034:3481 226.60820:27938 241.01199:3226 244.99837:613 255.23311:4447 256.23654:2465 259.24271:758 279.23325:11434 291.37555:557 301.21762:3505 303.23334:4966 316.94437:463 329.17813:467 391.22693:980 392.22977:1113 429.21561:721 435.12326:512 446.30664:548 453.46301:517 453.92859:562 463.43704:508 464.31497:927 470.30524:718 488.31567:1053 517.71130:474 549.91302:570 553.27850:638 554.28235:1166 712.88867:570 750.54510:5965 750.58374:614 784.76630:565 810.52332:5031</t>
  </si>
  <si>
    <t>PS 38:4|PS 18:0_20:4</t>
  </si>
  <si>
    <t>C44H78NO10P</t>
  </si>
  <si>
    <t>PS</t>
  </si>
  <si>
    <t>IULWELDCBXQXED-UHFFFAOYSA-N</t>
  </si>
  <si>
    <t>O=C(OCC(OC(=O)CCCCCCC=CCC=CCC=CCC=CCC)COP(=O)(O)OCC(N)C(=O)O)CCCCCCCCCCCCCCCCC</t>
  </si>
  <si>
    <t>810.52911:83826 811.53378:33715 812.53845:10186</t>
  </si>
  <si>
    <t>56.21959:917 67.96151:821 72.04758:823 76.01817:776 77.48187:860 77.87674:1014 78.95896:2479 80.74119:953 82.35753:862 88.12155:785 107.52710:763 113.79713:797 120.63569:791 129.95763:897 142.60803:888 143.22269:857 146.21227:864 152.88562:798 152.99596:4502 161.21948:871 161.32886:927 161.37514:951 170.99461:940 174.21146:952 226.60431:43006 226.61226:8934 226.61636:1523 229.27063:833 283.26456:10322 303.23358:6074 375.47162:828 419.25870:4527 437.26920:2353 467.35632:853 537.29382:871 647.93573:868 722.36353:853 723.49628:4207 767.27960:954 810.53058:1535</t>
  </si>
  <si>
    <t>PC O-36:5|PC O-16:1_20:4</t>
  </si>
  <si>
    <t>VXQMCPDKMGAOGH-UHFFFAOYSA-N</t>
  </si>
  <si>
    <t>O=C(OC(COCCCCCCCCC=CCCCCCC)COP(=O)([O-])OCC[N+](C)(C)C)CCCCCCC=CCC=CCC=CCC=CCC</t>
  </si>
  <si>
    <t>810.56641:1425201 811.57107:719491 812.57574:206849</t>
  </si>
  <si>
    <t>52.05832:676 53.97121:667 58.10155:500 59.01376:1615 60.25406:617 75.79617:503 76.93552:616 78.95893:1203 79.35349:491 82.88351:565 83.17196:549 84.20506:534 84.99961:620 86.11259:505 86.79795:539 91.30612:587 96.47488:477 104.95396:617 121.48729:614 126.63492:518 127.85070:644 148.82597:609 154.56525:598 158.31905:489 162.57674:572 164.72134:508 164.74597:580 164.78282:589 164.78856:711 164.80270:499 168.04326:3671 186.96445:498 205.19647:2668 224.07007:2327 226.60466:26721 226.61256:5841 239.23848:2185 243.77982:523 259.23584:741 259.24362:17519 259.39587:576 271.12994:613 303.23364:265804 375.23120:2615 393.24097:522 396.05756:557 446.30560:11457 456.17087:675 464.31625:41057 621.82245:673 720.49207:578 732.74158:916 750.54553:76282 810.56763:3511</t>
  </si>
  <si>
    <t>PC O-36:5|PC O-16:0_20:5</t>
  </si>
  <si>
    <t>YHSSHPWVFALMBA-UHFFFAOYSA-N</t>
  </si>
  <si>
    <t>O=C(OC(COCCCCCCCCCCCCCCCC)COP(=O)([O-])OCC[N+](C)(C)C)CCCC=CCC=CCC=CCC=CCC=CCC</t>
  </si>
  <si>
    <t>810.56628:244396 811.57095:126349 812.57562:36232</t>
  </si>
  <si>
    <t>52.60397:889 54.36151:765 55.94160:1048 57.08017:956 57.08792:868 64.27348:796 66.40160:907 80.52094:824 110.30741:808 147.34402:857 164.13258:868 211.15723:839 223.00130:1249 226.60455:53216 239.27689:931 241.01225:3319 255.23323:2568 256.23682:2084 257.22800:3894 273.45053:900 279.23346:14945 301.21786:23670 303.23407:2834 332.81833:909 391.22681:1425 448.32135:1043 466.33185:3288 473.23193:857 473.79166:833 488.31659:1349 548.92871:891 554.28217:1469 579.29700:875 714.58612:1066 728.73657:820 750.54535:22251 799.79865:960 810.52191:3203 810.56549:984</t>
  </si>
  <si>
    <t>810.56573:11383188 811.57040:5617188 812.57507:1611082</t>
  </si>
  <si>
    <t>56.91835:1101 58.39760:868 62.31417:777 71.55105:830 77.52258:901 78.76812:821 82.30643:847 91.68641:951 147.94705:840 150.94719:786 161.15382:870 161.24048:848 161.29391:1007 161.35732:897 163.42770:859 171.88333:991 176.79756:832 191.01552:752 193.65076:744 194.96320:844 226.60100:13304 226.60899:36458 255.23346:1959 277.70953:853 279.23322:4540 282.75076:1035 290.72659:886 303.23331:13632 360.79514:864 446.30450:1332 451.03070:828 456.79514:819 460.94839:842 464.31528:1230 545.00562:984 550.18127:1000 622.69897:977 623.22510:1117 742.53961:1438 750.54456:5576</t>
  </si>
  <si>
    <t>HexCer 42:1;O2|HexCer 18:1;O2/24:0</t>
  </si>
  <si>
    <t>C48H93NO8</t>
  </si>
  <si>
    <t>POQRWMRXUOPCLD-UHFFFAOYSA-N</t>
  </si>
  <si>
    <t>O=C(NC(COC1OC(CO)C(O)C(O)C1O)C(O)C=CCCCCCCCCCCCCC)CCCCCCCCCCCCCCCCCCCCCCC</t>
  </si>
  <si>
    <t>810.68365:336751 811.68832:182207 812.69299:51442</t>
  </si>
  <si>
    <t>51.40258:579 57.24746:581 58.97668:566 59.01371:22779 60.45312:501 67.23985:560 70.84732:513 71.01369:17954 72.09840:597 73.02808:496 73.02936:1577 76.36396:544 78.54134:550 85.02942:1879 85.05882:545 87.00871:888 89.02431:35219 95.01387:833 96.49398:529 100.93368:1890 101.02438:27171 112.98582:581 113.02441:11218 119.03501:16477 125.75546:546 131.03513:2315 143.03506:2794 149.04578:1632 158.97566:3296 160.78316:448 160.81874:1238 160.90445:582 160.90840:643 161.04572:4382 165.46930:540 167.76328:534 175.77838:489 176.27034:569 179.05643:8652 184.71567:470 216.45146:595 226.60080:18802 226.60873:14820 232.91510:531 237.22298:2156 240.50601:507 263.23871:2288 277.85104:532 305.44748:562 308.64389:668 349.34857:1806 353.20767:506 366.37497:2579 367.35873:5444 392.39062:8746 408.38498:2511 561.37817:548 600.61151:2086 604.68188:535 612.28937:540 616.60498:1225 618.62122:2784 618.64899:595 630.62073:1103 648.63129:46699 810.68304:11912</t>
  </si>
  <si>
    <t>PC 35:4|PC 15:0_20:4</t>
  </si>
  <si>
    <t>JSXZJOMDSXRJMT-UHFFFAOYSA-N</t>
  </si>
  <si>
    <t>O=C(OCC(OC(=O)CCCCCCC=CCC=CCC=CCC=CCC)COP(=O)([O-])OCC[N+](C)(C)C)CCCCCCCCCCCCCC</t>
  </si>
  <si>
    <t>812.54443:642278 813.54910:315132 814.55377:85539</t>
  </si>
  <si>
    <t>50.51967:518 51.52636:570 52.62974:598 55.71013:600 58.37553:468 64.76068:506 68.69759:575 82.24368:455 84.40682:568 89.45726:576 91.99532:505 99.88113:560 113.05687:509 113.69707:502 113.90808:616 125.98083:509 135.16660:514 152.69884:570 154.58899:525 154.99367:520 161.04584:869 161.08218:652 161.12549:805 168.04337:1648 168.92572:512 205.19640:585 223.83345:541 224.07072:646 226.60353:21949 226.61156:9688 241.21751:23074 248.56282:497 259.24338:2214 283.26480:681 295.19919:562 303.23328:54214 311.04547:492 326.63437:573 361.73175:605 377.21039:721 428.84259:495 448.28351:701 461.51382:599 466.29514:5381 528.31097:640 704.40326:563 732.69702:644 745.78522:570 752.52393:19508 812.54266:717</t>
  </si>
  <si>
    <t>PC O-36:4|PC O-16:0_20:4</t>
  </si>
  <si>
    <t>C44H82NO7P</t>
  </si>
  <si>
    <t>SOUZQPFUXRVDGK-UHFFFAOYSA-N</t>
  </si>
  <si>
    <t>O=C(OC(COCCCCCCCCCCCCCCCC)COP(=O)([O-])OCC[N+](C)(C)C)CCCCCCC=CCC=CCC=CCC=CCC</t>
  </si>
  <si>
    <t>812.58136:8463049 813.58603:4264636 814.59070:1214511</t>
  </si>
  <si>
    <t>50.13922:2106 53.62167:1906 55.49558:2017 56.49320:2149 56.90541:2265 57.03809:2060 59.01367:4181 62.79152:2159 64.62592:2295 68.97693:2068 71.20477:2445 71.61375:2143 72.60387:2225 74.73615:1994 78.95885:3900 80.16417:2235 95.37220:2070 102.70499:1972 102.85030:2192 120.08212:2064 151.63232:2109 151.63635:2220 160.04752:2261 163.75740:1695 168.04329:6820 182.24403:2129 205.19633:20329 214.98203:2100 220.67688:2251 226.60219:114040 226.61432:3969 259.23660:1620 259.24350:70267 279.23355:24914 303.23343:1178275 304.23679:6660 332.34943:2251 333.64011:2366 347.11984:2255 377.24664:18269 389.10840:2338 395.23633:2067 448.32095:56180 466.33148:159659 510.59140:2439 611.92432:2323 660.04590:2639 681.48450:2304 732.75665:3177 752.56055:340351 753.50952:3723 812.58160:15177</t>
  </si>
  <si>
    <t>HexCer 41:1;O3|HexCer 18:1;O2/23:0;O</t>
  </si>
  <si>
    <t>C47H91NO9</t>
  </si>
  <si>
    <t>HexCer_HS</t>
  </si>
  <si>
    <t>IMWGGVXJCSODDM-UHFFFAOYSA-N</t>
  </si>
  <si>
    <t>O=C(NC(COC1OC(CO)C(O)C(O)C1O)C(O)C=CCCCCCCCCCCCCC)C(O)CCCCCCCCCCCCCCCCCCCCC</t>
  </si>
  <si>
    <t>812.66235:104861 813.66702:53591 814.67169:15451</t>
  </si>
  <si>
    <t>50.72840:520 56.12130:467 56.54375:545 59.01376:3139 61.26625:522 65.72466:490 66.81967:552 71.01369:3245 78.95894:1870 86.83680:555 88.23161:565 89.02431:6555 91.25583:534 94.45705:494 100.65263:567 101.02438:5089 113.02447:1583 119.03498:3008 122.79056:632 152.48137:567 158.60219:458 164.07277:540 164.16061:457 164.16486:611 164.18105:473 164.19543:444 164.21371:462 168.04341:3354 174.30817:461 179.05678:863 226.60223:27219 231.38167:689 239.23933:605 271.14420:546 280.26541:1185 284.01315:471 292.17328:574 307.90381:501 353.09982:535 394.36908:871 428.25845:507 466.23453:557 468.98517:640 508.29953:489 614.59082:628 632.59949:5566 650.61115:1695 732.81677:616 812.66742:5010</t>
  </si>
  <si>
    <t>PC 35:3|PC 17:1_18:2</t>
  </si>
  <si>
    <t>UJXPBTXUYBVHBS-UHFFFAOYSA-N</t>
  </si>
  <si>
    <t>O=C(OCC(OC(=O)CCCCCCCC=CCC=CCCCCC)COP(=O)([O-])OCC[N+](C)(C)C)CCCCCCCC=CCCCCCCC</t>
  </si>
  <si>
    <t>814.56152:240193 815.56619:184582 816.57086:0</t>
  </si>
  <si>
    <t>52.33934:475 54.66060:532 57.64017:488 60.91554:510 60.91681:523 63.49035:484 81.92706:508 96.00876:601 99.73293:485 99.89217:485 100.06551:485 100.82141:468 115.74254:481 119.67438:579 119.89277:521 130.51169:613 133.67249:503 151.94212:562 154.50070:568 156.70845:514 159.18867:561 161.67500:606 161.67903:857 161.68330:612 163.85614:519 168.04335:1206 200.80063:531 213.93698:527 220.33322:547 224.06969:1139 226.60452:32760 267.23349:15358 279.23349:40569 305.24951:1498 361.68423:544 474.29892:646 492.31094:1073 492.69287:466 542.81171:485 555.95020:721 619.93121:557 754.54034:11123</t>
  </si>
  <si>
    <t>PC O-36:3|PC O-16:0_20:3</t>
  </si>
  <si>
    <t>C44H84NO7P</t>
  </si>
  <si>
    <t>FBBXBJITXQXKMG-UHFFFAOYSA-N</t>
  </si>
  <si>
    <t>O=C(OC(COCCCCCCCCCCCCCCCC)COP(=O)([O-])OCC[N+](C)(C)C)CCCCCCCCCC=CCC=CCC=CCC</t>
  </si>
  <si>
    <t>814.59424:1082078 815.59891:554160 816.60357:154253</t>
  </si>
  <si>
    <t>55.26245:551 63.36156:601 64.55318:555 70.07819:473 70.98185:543 77.39393:486 77.62206:528 83.23891:495 88.07958:559 114.49274:599 125.70673:472 131.96844:555 138.69608:604 152.45448:517 159.10159:500 160.45116:649 160.47948:698 160.56645:783 160.63690:621 160.65205:628 167.58807:472 168.04350:564 183.70845:515 215.75005:564 226.60609:31988 250.07713:479 279.23349:2953 305.24902:16051 319.63431:572 417.84488:550 466.33063:1214 506.22754:559 593.97174:513 614.30261:571 683.47577:529 700.44055:641 735.15320:595 737.19653:613 752.33765:489 754.57507:5913 796.83069:649 819.42957:579</t>
  </si>
  <si>
    <t>814.59467:650776 815.59933:324125 816.60400:83155</t>
  </si>
  <si>
    <t>50.96962:727 51.09842:763 52.35107:817 54.42975:848 54.61533:777 58.24365:856 60.44975:802 61.32851:806 63.80314:957 65.77814:857 70.62077:808 72.97006:785 75.45016:954 80.98413:830 92.30843:820 94.91885:793 96.43496:937 108.95312:945 112.64395:842 115.22514:819 140.80516:774 141.49406:815 161.63077:875 162.65134:973 187.08304:1067 190.26466:804 192.71867:784 215.82843:770 226.60240:46739 226.61032:8417 237.43044:1016 251.79671:1085 264.66660:792 279.23303:2326 305.24908:30297 448.32181:1218 466.33170:3613 496.27414:868 556.72046:1097 583.08997:864 594.14923:1009 628.55029:908 675.98749:756 697.52856:867 754.57587:9895</t>
  </si>
  <si>
    <t>PC O-36:3|PC O-18:1_18:2</t>
  </si>
  <si>
    <t>MFZLAZYUXHHSIA-UHFFFAOYSA-N</t>
  </si>
  <si>
    <t>O=C(OC(COCCCCCCCCC=CCCCCCCCC)COP(=O)([O-])OCC[N+](C)(C)C)CCCCCCCC=CCC=CCCCCC</t>
  </si>
  <si>
    <t>814.59760:233704 815.60226:114709 816.60693:80971</t>
  </si>
  <si>
    <t>55.03931:878 56.67946:960 65.37117:827 67.46400:1006 79.41389:917 98.39856:782 107.25282:783 107.89036:863 136.91354:836 162.57710:1107 162.58147:915 222.02374:833 226.60428:37180 226.61220:12950 226.61670:1719 247.54993:1003 270.44379:883 279.23340:90813 281.24911:2384 311.41132:919 329.34442:816 334.54553:915 342.63937:769 361.76923:902 443.05405:857 474.33731:2803 475.25244:1097 492.34790:8680 513.19879:1020 659.30304:995 708.37091:838 732.83917:1244 754.57660:28862 814.59863:1624 818.39752:1066</t>
  </si>
  <si>
    <t>PC 35:2|PC 17:0_18:2</t>
  </si>
  <si>
    <t>ZSKWZJYUVZYDQU-UHFFFAOYSA-N</t>
  </si>
  <si>
    <t>O=C(OCC(OC(=O)CCCCCCCC=CCC=CCCCCC)COP(=O)([O-])OCC[N+](C)(C)C)CCCCCCCCCCCCCCCC</t>
  </si>
  <si>
    <t>816.57520:4321686 817.57986:2136540 818.58453:1128408</t>
  </si>
  <si>
    <t>63.43216:923 66.61549:864 73.41121:827 73.62822:789 78.95888:1515 79.95931:873 83.81057:943 107.38940:962 107.93269:936 112.98557:2258 137.04994:854 140.01187:2101 145.49310:977 161.27180:1013 161.27747:876 161.29474:951 161.30679:1308 161.33990:1016 168.04329:1479 196.03818:1162 197.53415:972 205.19604:1028 224.06992:1644 226.60329:35629 226.61133:18425 226.61609:2038 256.65881:881 259.24326:6624 265.21753:2443 267.23334:3289 269.24884:34832 276.01532:855 279.23325:134828 280.23669:26435 281.23935:9836 281.24902:6602 285.67648:870 293.24902:3983 303.23334:108553 304.23654:1113 329.24905:3063 444.28949:4817 462.29996:14959 475.34076:1896 476.31555:1733 486.30005:1325 493.35028:2740 494.32648:5980 494.34995:1704 580.68872:932 618.41028:920 625.46887:1069 748.52936:31124 755.57928:1954 756.55103:36100 816.51685:2680 816.57092:1568</t>
  </si>
  <si>
    <t>816.57684:321574 817.58151:164544 818.58618:45717</t>
  </si>
  <si>
    <t>59.07769:509 59.64744:531 61.22111:562 70.18549:517 70.36815:531 78.95893:597 80.25555:540 81.01826:561 81.62041:585 81.95858:586 82.06030:540 82.64121:514 100.93345:645 112.98565:2389 115.52321:609 118.96435:626 120.61522:526 126.61135:518 146.25258:563 146.36292:510 156.72952:476 160.18497:498 160.20729:519 160.21132:625 160.22559:696 160.23267:850 160.25394:542 160.36818:521 161.42432:509 168.04333:1470 179.62735:533 184.85341:488 205.17516:518 212.76085:494 221.72661:608 224.06944:1750 226.60088:3086 226.60867:28591 232.48080:594 234.15588:507 239.97009:501 246.26617:616 265.02756:479 267.23364:2428 269.24911:27333 279.23346:80468 281.24918:5617 283.24347:1199 303.23434:573 308.98715:553 327.23343:3086 351.27750:573 352.87341:504 355.78088:473 366.98111:603 420.28934:607 438.29959:939 476.31577:1421 486.29999:711 494.32687:4020 500.43613:503 700.81012:561 748.52936:1598 756.55609:27328 816.57965:1126</t>
  </si>
  <si>
    <t>816.57593:2050366 817.58060:1008796 818.58526:283988</t>
  </si>
  <si>
    <t>51.57893:552 56.88142:501 58.43216:502 59.39843:511 62.45183:493 63.70082:534 79.20013:555 80.51022:539 80.78239:471 90.10651:457 99.69205:557 100.39691:522 109.77727:584 112.98557:1937 124.51484:465 149.11552:491 151.53471:545 160.02635:531 160.84216:859 160.84909:549 160.86261:499 160.86804:587 160.89847:625 160.90955:582 160.98132:502 166.02364:558 168.04341:3451 179.89243:507 186.26396:531 200.92224:515 202.44376:581 224.06955:1681 226.59995:12833 226.60794:19699 267.23340:2717 269.24899:38677 279.23340:121947 281.24915:4057 295.26511:670 327.23425:1369 333.82294:578 405.24197:711 407.57513:618 421.41821:528 438.29962:610 476.31564:1345 486.29971:1265 494.32651:6936 562.53357:577 572.75385:554 693.68152:545 732.79993:763 756.55579:31569 756.86005:564 793.61182:582 813.88501:547 816.57672:2057</t>
  </si>
  <si>
    <t>PC O-36:2|PC O-18:1_18:1</t>
  </si>
  <si>
    <t>C44H86NO7P</t>
  </si>
  <si>
    <t>SLADRSJRKVHHAA-UHFFFAOYSA-N</t>
  </si>
  <si>
    <t>O=C(OC(COCCCCCCCCC=CCCCCCCCC)COP(=O)([O-])OCC[N+](C)(C)C)CCCCCCCC=CCCCCCCCC</t>
  </si>
  <si>
    <t>816.61340:303538 817.61807:109483 818.62274:0</t>
  </si>
  <si>
    <t>58.92374:495 59.12640:506 64.44407:726 65.09103:576 66.54004:484 73.88721:512 76.77110:483 76.78886:487 78.95897:2477 94.82481:508 111.80437:491 113.30769:563 122.53799:503 127.26894:563 129.45845:491 131.52412:571 135.04123:556 162.58044:604 162.68558:543 168.04349:7200 169.04672:766 171.97694:496 175.15096:573 180.97391:550 184.44084:537 204.57816:541 212.89281:498 215.03984:502 226.60057:16399 226.60860:16201 226.73827:550 240.30244:611 262.71985:585 274.97824:520 279.23441:604 281.24921:89009 283.26486:1002 284.52377:578 309.28098:4348 344.40463:535 403.26288:818 407.72009:530 474.33655:3036 492.34723:7489 550.36511:612 615.42358:551 638.32648:569 756.59265:20540 757.62518:3493 789.17273:593 816.66913:2084</t>
  </si>
  <si>
    <t>PC O-36:2|PC O-18:0_18:2</t>
  </si>
  <si>
    <t>LMGTVCKIUNTOEP-UHFFFAOYSA-N</t>
  </si>
  <si>
    <t>O=C(OC(COCCCCCCCCCCCCCCCCCC)COP(=O)([O-])OCC[N+](C)(C)C)CCCCCCCC=CCC=CCCCCC</t>
  </si>
  <si>
    <t>816.61353:1144871 817.61819:574396 818.62286:157028</t>
  </si>
  <si>
    <t>61.89949:605 63.41479:599 71.13187:587 73.30311:617 74.04967:602 78.61482:556 78.95892:930 86.36294:671 92.73685:609 109.33541:602 112.25841:614 112.98554:1171 118.17982:633 132.71548:638 144.34250:592 144.54568:541 163.83322:630 163.86868:796 163.88853:848 163.92148:734 163.94466:865 163.98399:594 164.04424:618 168.04318:1944 184.97278:562 226.59767:1303 226.60449:37977 242.25827:536 247.63287:642 267.07040:610 279.23334:382885 280.23700:1906 281.24902:13543 282.25168:960 307.26489:4680 307.63632:562 313.55124:714 315.41266:532 343.64691:598 366.17902:597 405.27859:3037 476.35260:15312 492.34854:1295 494.36292:35251 547.26422:588 681.43951:860 711.53204:867 732.71832:917 756.59155:102075 816.61255:4549</t>
  </si>
  <si>
    <t>SM 39:1;O2|SM 16:1;O2/23:0</t>
  </si>
  <si>
    <t>C44H89N2O6P</t>
  </si>
  <si>
    <t>DZDNLWWCTCDASI-UHFFFAOYSA-N</t>
  </si>
  <si>
    <t>O=C(NC(COP(=O)([O-])OCC[N+](C)(C)C)C(O)C=CCCCCCCCCCCC)CCCCCCCCCCCCCCCCCCCCCC</t>
  </si>
  <si>
    <t>817.64459:6681422 818.64926:3421163 819.65393:909848</t>
  </si>
  <si>
    <t>51.41256:948 56.29515:955 57.17547:865 61.75431:922 68.50040:905 70.36448:927 73.64479:823 78.95892:49533 91.79376:900 96.88777:882 107.88667:1027 108.42510:875 114.20270:873 122.98537:7550 134.45273:917 160.94095:961 162.74867:1205 162.75284:1123 162.77190:1480 162.78004:1284 168.04340:202189 174.15176:883 223.51595:1008 226.59779:2386 226.60452:58249 271.30093:1017 281.24915:29805 282.25256:18192 309.28049:1181 309.89655:942 324.56058:957 347.62164:1065 421.28473:2253 424.94547:965 435.30124:1378 441.20496:934 492.34891:1157 493.35120:1597 581.99579:1079 680.34888:1016 686.55121:3095 724.58728:906 732.72278:1752 757.62427:415387 758.57190:2986 758.62567:2241 817.64508:5703</t>
  </si>
  <si>
    <t>PC 35:1|PC 17:0_18:1</t>
  </si>
  <si>
    <t>SXNXGNVZTLZDHE-UHFFFAOYSA-N</t>
  </si>
  <si>
    <t>O=C(OCC(OC(=O)CCCCCCCC=CCCCCCCCC)COP(=O)([O-])OCC[N+](C)(C)C)CCCCCCCCCCCCCCCC</t>
  </si>
  <si>
    <t>818.59174:3385994 819.59640:1647931 820.60107:465163</t>
  </si>
  <si>
    <t>51.41226:920 52.70194:920 53.48888:798 57.35740:859 60.45284:800 61.00163:880 62.47334:1037 68.49101:782 78.23321:979 78.95898:1740 82.37372:832 83.45310:891 84.84335:958 95.35003:829 107.11272:801 108.35879:790 110.28381:821 120.12438:859 123.08529:877 126.40590:836 128.59538:889 143.61963:899 161.50069:875 161.51569:1175 161.52989:1082 161.55588:1165 161.57372:908 161.64778:1120 163.65108:844 168.04327:3074 169.04668:967 205.19632:1366 224.06956:1318 226.60333:40240 226.61595:1492 255.23328:4585 259.24326:3124 260.66183:952 265.98642:1034 267.23315:6135 269.24878:18968 270.44672:862 280.23663:1872 281.24887:69415 282.25220:15339 283.25549:5439 283.26459:3231 295.26462:7576 303.23328:38817 303.59634:916 309.28165:928 446.30505:1172 464.31564:4985 468.01675:933 493.35107:1513 494.32736:1976 494.35358:2311 750.54480:11946 758.56592:19020 760.98895:868</t>
  </si>
  <si>
    <t>818.59241:621170 819.59707:309459 820.60174:0</t>
  </si>
  <si>
    <t>51.19427:602 51.24393:591 53.09079:510 53.15955:547 53.18339:525 53.21333:467 53.97933:474 61.83637:556 61.98821:749 64.94001:518 69.99240:600 72.07648:501 78.95889:681 80.01071:519 88.06618:496 89.70737:561 96.21437:640 119.55316:504 123.81145:518 125.30259:530 125.67334:529 129.50449:474 143.30792:567 164.02841:575 164.04663:525 164.08011:734 164.11409:450 168.04335:1873 200.77519:495 206.65315:524 220.12204:505 224.06946:1386 226.59801:1293 226.60454:33112 255.23322:621 257.42905:684 269.24902:42286 281.24902:87804 295.26511:935 305.24918:4945 329.24869:679 331.26492:1144 373.53583:571 374.10544:513 473.02802:551 476.31604:623 485.90237:688 488.31525:668 494.32642:3578 506.32660:1373 680.29108:557 737.61469:534 750.54541:2348 758.57123:28583 818.59088:1018</t>
  </si>
  <si>
    <t>DMPE 40:5|DMPE 18:0_22:5</t>
  </si>
  <si>
    <t>C47H84NO8P</t>
  </si>
  <si>
    <t>SBHIZKJTULREQJ-UHFFFAOYSA-N</t>
  </si>
  <si>
    <t>O=C(OCC(OC(=O)CCCCCC=CCC=CCC=CCC=CCC=CCC)COP(=O)(O)OCCN(C)C)CCCCCCCCCCCCCCCCC</t>
  </si>
  <si>
    <t>820.58417:236777 821.58884:78997 822.59350:30492</t>
  </si>
  <si>
    <t>51.44771:887 56.61909:865 60.21980:802 60.22679:866 60.25513:829 60.84397:996 61.56281:818 92.80555:755 96.15724:732 96.30078:876 98.13465:805 102.09283:974 107.44551:771 115.42336:1049 117.96732:810 119.60197:846 126.12482:779 126.17500:796 128.46783:768 141.03966:747 154.60080:866 163.00421:775 168.04343:2566 187.89429:841 194.83322:768 198.10068:866 205.10034:1065 224.06978:3761 226.59767:1932 226.60452:52874 235.84769:807 263.88782:906 264.75323:1021 281.24924:4671 283.26459:30259 285.25949:2862 303.23340:7187 309.28055:2439 329.24911:70822 424.67401:799 490.33163:1095 508.34174:3884 534.35962:977 721.33063:816 749.53320:950 820.58606:6782</t>
  </si>
  <si>
    <t>820.58459:223654 821.58926:92997 822.59393:19750</t>
  </si>
  <si>
    <t>52.54259:821 54.02105:1222 54.18489:743 56.12320:834 57.37087:801 59.84819:817 61.11216:833 62.06060:793 62.27225:1020 62.55151:902 66.72395:917 70.00587:874 77.89577:823 97.40121:919 97.61594:879 106.87850:867 122.61114:908 123.33037:887 123.77666:803 127.20709:830 135.27934:819 142.53714:818 149.88388:717 159.89317:794 159.93648:946 159.96004:864 160.01265:908 160.02882:1181 168.01768:914 208.75522:802 226.60355:37080 269.45123:974 279.23273:1183 281.24902:13801 283.26468:4583 303.23352:1313 307.26459:4356 329.24930:8159 342.62292:925 369.54776:1150 402.63797:918 412.97235:842 497.14566:1051 770.57111:5301</t>
  </si>
  <si>
    <t>PC 36:6|PC 14:0_22:6</t>
  </si>
  <si>
    <t>C44H76NO8P</t>
  </si>
  <si>
    <t>HAIPHKFLSXSDAN-UHFFFAOYSA-N</t>
  </si>
  <si>
    <t>O=C(OCC(OC(=O)CCC=CCC=CCC=CCC=CCC=CCC=CCC)COP(=O)([O-])OCC[N+](C)(C)C)CCCCCCCCCCCCC</t>
  </si>
  <si>
    <t>822.52942:153218 823.53409:77746 824.53875:214293</t>
  </si>
  <si>
    <t>51.10936:569 55.16235:487 55.19810:539 55.19899:452 55.31897:471 55.77292:455 55.90781:558 57.65633:498 61.98822:874 65.79348:484 68.31330:488 68.77927:457 71.42738:496 74.01019:638 75.50797:518 81.29031:436 100.87722:626 107.08670:548 108.44509:543 109.14983:474 114.02092:532 125.07968:477 135.17419:554 135.17732:624 152.51352:560 155.37241:527 156.02579:593 158.97577:698 161.28708:491 161.79079:550 161.79872:663 161.83513:545 161.84021:503 161.84540:515 161.85809:728 161.86562:735 162.10547:536 168.04335:996 175.02400:498 212.17656:526 219.49049:505 226.60254:27489 226.61443:983 227.20197:7545 283.24362:6219 327.23367:12366 336.66177:571 337.43961:550 371.91937:554 452.28033:1522 664.54712:582 762.50836:5891</t>
  </si>
  <si>
    <t>DMPE 40:4|DMPE 18:0_22:4</t>
  </si>
  <si>
    <t>C47H86NO8P</t>
  </si>
  <si>
    <t>JIGCMZGXSAWZAR-UHFFFAOYSA-N</t>
  </si>
  <si>
    <t>O=C(OCC(OC(=O)CCCCCCCCC=CCC=CCC=CCC=CCC)COP(=O)(O)OCCN(C)C)CCCCCCCCCCCCCCCCC</t>
  </si>
  <si>
    <t>822.60083:222590 823.60550:112249 824.61017:34570</t>
  </si>
  <si>
    <t>50.07048:876 53.78955:960 63.41234:783 66.55392:988 76.31290:772 79.14052:797 80.84524:980 87.13034:930 87.52229:798 96.57800:976 96.64411:829 102.95681:2616 104.85146:783 107.77981:776 128.24309:841 134.34857:915 151.44403:927 155.59734:863 162.49690:1148 162.56049:1007 162.59384:1152 168.04343:3748 182.08730:922 218.41895:831 226.60452:56369 260.64783:1091 279.23355:1097 283.26474:40624 287.27493:2700 304.23724:967 331.26486:101365 484.19983:990 486.83380:998 490.33179:1521 508.34213:6289 590.89612:941 672.78809:934 725.67896:1037 732.66644:1111 801.33984:911 822.60095:6303</t>
  </si>
  <si>
    <t>PC 36:5|PC 18:2_18:3</t>
  </si>
  <si>
    <t>C44H78NO8P</t>
  </si>
  <si>
    <t>HZGAVPNEGHQJID-UHFFFAOYSA-N</t>
  </si>
  <si>
    <t>O=C(OCC(OC(=O)CCCCCCCC=CCC=CCC=CCC)COP(=O)([O-])OCC[N+](C)(C)C)CCCCCCCC=CCC=CCCCCC</t>
  </si>
  <si>
    <t>824.54376:373600 825.54843:179790 826.55310:50139</t>
  </si>
  <si>
    <t>50.95966:462 51.53827:491 52.10746:499 52.95790:473 54.75001:574 57.14928:495 59.26123:511 62.85801:539 66.13557:541 71.57980:575 79.22651:506 84.02840:527 87.08347:529 103.23978:543 109.14247:533 112.98557:1298 119.25016:524 126.82008:594 130.08751:539 132.81909:552 133.36688:608 158.22200:517 161.28641:490 161.82011:550 161.86316:625 161.91885:715 161.93683:462 162.00235:607 162.07887:631 168.04335:1671 173.32895:508 177.25906:497 183.50458:506 189.56213:464 210.09300:464 213.19493:452 217.57466:425 222.32112:530 223.64517:459 224.06953:530 224.48383:481 226.59801:7160 226.60599:25120 227.20180:1691 269.38748:581 277.20758:688 277.21002:356 277.21750:20111 279.23309:38079 284.24762:914 308.89853:480 325.79126:533 327.23340:1203 328.23639:981 329.24075:879 355.56784:530 396.75668:583 398.38559:538 416.80069:536 426.73898:489 458.01428:514 502.29623:1315 555.99274:684 764.52258:10477 815.81836:667 824.54138:692</t>
  </si>
  <si>
    <t>PC 36:5|PC 16:1_20:4</t>
  </si>
  <si>
    <t>NJKOHDXHBBUJBZ-UHFFFAOYSA-N</t>
  </si>
  <si>
    <t>O=C(OCC(OC(=O)CCCCCCC=CCC=CCC=CCC=CCC)COP(=O)([O-])OCC[N+](C)(C)C)CCCCCCCC=CCCCCCC</t>
  </si>
  <si>
    <t>824.54510:588769 825.54977:293957 826.55444:87001</t>
  </si>
  <si>
    <t>52.39392:578 55.04572:525 58.93922:512 59.01371:737 59.56643:487 60.62676:638 62.11510:515 65.97433:457 66.43406:542 66.81782:514 71.71627:452 76.67979:546 78.95887:821 80.11580:544 83.59975:525 89.36291:512 95.40316:565 96.96650:477 96.97228:447 100.55639:531 102.51524:520 107.78217:500 112.98557:971 113.19272:444 115.10865:581 118.07963:458 122.17896:672 135.41342:562 148.29376:527 149.03560:662 158.97578:502 159.24808:491 161.65788:592 161.67926:537 168.04324:3982 186.61348:548 205.19655:869 212.39958:529 213.02167:517 224.06978:1817 224.39578:540 226.60455:35001 227.20203:4557 248.71617:480 253.21765:40786 259.24350:6421 265.05219:547 277.21777:1211 279.23309:1546 303.23352:104736 329.24930:10665 460.28394:1557 469.44144:628 478.29529:9052 510.30109:940 549.90942:536 732.61481:680 764.52429:30039 802.40601:551 824.54645:794</t>
  </si>
  <si>
    <t>PC 36:5|PC 16:0_20:5</t>
  </si>
  <si>
    <t>KLTHQSWIRFFBRI-UHFFFAOYSA-N</t>
  </si>
  <si>
    <t>O=C(OCC(OC(=O)CCCC=CCC=CCC=CCC=CCC=CCC)COP(=O)([O-])OCC[N+](C)(C)C)CCCCCCCCCCCCCCC</t>
  </si>
  <si>
    <t>824.54553:607814 825.55020:304903 826.55487:87753</t>
  </si>
  <si>
    <t>56.15009:509 61.98822:1757 66.33030:520 71.77512:548 78.95885:874 82.28614:541 82.76516:488 100.93359:784 103.18916:493 110.12982:461 111.04484:525 112.98556:1019 114.57362:491 120.59583:547 120.96468:515 143.73021:602 145.89066:497 148.00691:534 150.60837:533 151.14925:618 154.36937:631 156.03654:551 161.13412:600 161.17488:553 161.27103:745 161.28503:822 168.04327:2113 183.60844:475 184.13300:520 196.33760:524 203.18089:1321 220.94272:587 224.06952:2556 226.60706:32306 233.49097:517 253.21747:2168 255.23332:40863 257.22781:12356 270.09311:553 301.21783:75719 303.23325:3673 328.90475:742 462.29944:592 471.88617:643 480.31122:10425 526.29395:659 528.40741:512 530.52246:654 548.97498:603 643.35413:684 732.76135:707 764.52423:30062 824.54449:1149</t>
  </si>
  <si>
    <t>PC O-37:5|PC O-17:1_20:4</t>
  </si>
  <si>
    <t>QWWLBBZVJPETFB-UHFFFAOYSA-N</t>
  </si>
  <si>
    <t>O=C(OC(COCCCCCCCCC=CCCCCCCC)COP(=O)([O-])OCC[N+](C)(C)C)CCCCCCC=CCC=CCC=CCC=CCC</t>
  </si>
  <si>
    <t>824.57971:352036 825.58438:181248 826.58905:42162</t>
  </si>
  <si>
    <t>50.24369:481 56.61792:497 57.22064:502 59.01364:611 63.81501:629 73.45036:532 83.58486:532 84.53365:593 86.02391:538 87.01662:475 91.97836:557 121.70251:469 123.80800:589 125.97488:480 144.37465:504 144.72722:478 153.71149:599 155.62662:560 161.01636:462 161.64716:590 161.69984:613 161.70514:802 161.71852:512 161.72697:463 161.75122:579 164.32112:562 168.04318:757 180.47444:472 185.10719:573 205.19638:890 214.57637:574 224.06990:1497 224.96898:529 226.59850:4037 226.60640:29138 241.82970:571 256.93695:538 259.24350:4104 264.06912:559 279.23364:1285 303.23346:64260 305.24957:671 315.28519:528 330.98462:506 362.66931:510 460.32086:3458 478.33188:8114 497.69556:642 737.31677:663 764.56061:18451 764.60455:1083 824.58173:688</t>
  </si>
  <si>
    <t>HexCer 42:2;O3|HexCer 18:1;O2/24:1;O</t>
  </si>
  <si>
    <t>C48H91NO9</t>
  </si>
  <si>
    <t>CXNUVUMLRJUUKW-UHFFFAOYSA-N</t>
  </si>
  <si>
    <t>O=C(NC(COC1OC(CO)C(O)C(O)C1O)C(O)C=CCCCCCCCCCCCCC)C(O)CCCCCCCCCCC=CCCCCCCCCCC</t>
  </si>
  <si>
    <t>824.66412:118788 825.66879:63980 826.67346:17986</t>
  </si>
  <si>
    <t>51.57278:778 56.16067:910 59.01372:2919 60.52851:912 61.07381:884 63.33487:1081 70.60976:806 71.01370:2451 72.88928:900 75.34759:876 78.95890:1739 88.33127:781 89.02428:8265 91.15105:875 101.02434:3684 113.02438:3333 119.03497:4291 121.78874:895 123.88251:926 124.32740:946 130.39081:777 137.37198:847 161.37712:811 161.42297:1295 161.42744:1013 161.43166:1269 161.44485:894 161.51572:915 168.04332:4368 179.05629:2473 213.75620:985 226.60405:43174 226.61194:12536 227.56723:864 237.07457:876 258.84186:821 265.23987:864 266.97528:999 280.26517:1109 281.19196:910 283.26410:1164 292.31268:895 296.38837:878 297.35623:841 317.63644:780 322.85254:790 335.33185:1291 380.86337:944 382.79297:984 404.95178:999 406.36987:1532 434.88354:825 446.94714:905 461.25052:887 474.70319:1005 522.36591:953 530.44995:1048 630.24371:846 644.59943:7562 662.61206:4167 772.64301:2503 824.66467:5490</t>
  </si>
  <si>
    <t>PC 36:4|PC 18:2_18:2</t>
  </si>
  <si>
    <t>FVXDQWZBHIXIEJ-UHFFFAOYSA-N</t>
  </si>
  <si>
    <t>O=C(OCC(OC(=O)CCCCCCCC=CCC=CCCCCC)COP(=O)([O-])OCC[N+](C)(C)C)CCCCCCCC=CCC=CCCCCC</t>
  </si>
  <si>
    <t>826.56116:1616297 827.56582:813583 828.57049:228861</t>
  </si>
  <si>
    <t>50.87213:754 53.66566:764 58.99883:789 62.74928:796 66.94202:739 69.47223:789 70.45233:1044 73.87380:787 74.76936:789 78.95889:2552 79.12611:815 80.00540:679 98.16468:718 115.28020:719 116.07906:697 127.12466:817 135.95950:805 144.29866:748 152.99622:929 161.30672:885 161.37894:1291 161.40897:1017 161.44077:862 161.47246:791 166.64589:744 168.04333:12767 174.80301:786 193.78203:772 224.06963:8542 226.60149:8599 226.60938:36671 242.08006:807 248.77530:837 253.21785:2317 277.21753:1075 279.23343:669027 280.23730:1074 281.24915:1380 290.54929:792 305.24896:5195 310.27679:730 386.55643:816 389.93115:845 415.22668:2619 418.03867:812 434.07516:797 444.67026:727 445.33612:831 469.02386:869 486.30087:8604 490.03476:782 504.31113:30019 507.44189:876 537.88354:788 596.29858:921 732.83978:1366 766.54010:109742 776.34863:841 826.56049:3898</t>
  </si>
  <si>
    <t>826.55975:18836648 827.56442:9313365 828.56909:2667128</t>
  </si>
  <si>
    <t>51.56763:1462 52.30430:1683 54.36473:1634 56.19174:1663 56.74740:1709 56.88326:1839 56.99168:1780 57.32822:1875 64.23361:1649 69.60664:1551 69.75588:1617 78.26952:1504 78.95884:5004 83.87329:1673 89.58571:1605 90.06915:1419 98.61055:1677 102.80349:1555 103.10380:1594 152.99594:2351 161.15312:1776 161.22386:1584 161.23378:1479 161.27356:1752 168.04320:26615 180.68120:1531 222.17044:1549 224.06934:19286 226.60263:57114 226.61064:34114 240.38095:1527 242.07996:1811 252.06615:1528 255.23346:14013 256.23648:17064 257.22784:3363 257.23947:4019 258.23102:3375 258.80441:1781 277.48901:1729 277.57236:1614 279.23318:1154044 280.23648:2551 289.92633:1522 301.21762:23935 302.22107:28721 303.22443:12752 303.23398:2180 345.08539:1620 389.86163:1665 402.37738:1768 415.22607:5028 416.95035:1903 480.31180:1939 481.31378:1892 482.31705:2855 486.29990:19216 502.82220:1915 504.31064:48726 601.09222:1972 765.52563:1833 766.53900:224601 826.56140:10439</t>
  </si>
  <si>
    <t>PC 36:4|PC 16:0_20:4</t>
  </si>
  <si>
    <t>JAVWFBAAZSHHAD-UHFFFAOYSA-N</t>
  </si>
  <si>
    <t>O=C(OCC(OC(=O)CCCCCCC=CCC=CCC=CCC=CCC)COP(=O)([O-])OCC[N+](C)(C)C)CCCCCCCCCCCCCCC</t>
  </si>
  <si>
    <t>826.56091:210940 827.56558:108514 828.57025:29319</t>
  </si>
  <si>
    <t>61.98830:1030 62.96878:503 66.53767:508 67.89110:556 68.53413:624 75.22473:458 79.84266:559 94.55393:567 95.79500:626 100.93371:726 112.98560:718 116.91407:531 128.97511:517 150.55754:518 152.12326:719 161.18657:675 162.22475:724 168.04352:1610 196.91840:499 213.39438:564 224.06963:680 226.60249:11347 226.61047:18264 249.61481:559 255.23329:13330 256.15683:522 271.97919:526 276.03479:553 277.21799:1373 279.23331:5778 287.80423:488 291.87607:578 303.23349:36831 305.24881:1057 458.47440:514 462.30185:604 480.31122:2062 528.57703:608 608.95776:543 732.76434:614 766.53986:12529 786.75848:598</t>
  </si>
  <si>
    <t>826.56036:18740602 827.56503:9383136 828.56970:2693630</t>
  </si>
  <si>
    <t>52.32777:550 52.35286:683 54.73619:459 57.32986:505 59.14189:449 68.15273:509 68.64482:510 75.01620:508 75.46747:583 80.18356:497 91.62633:539 112.98559:679 115.52175:493 118.97124:448 121.41635:550 148.93266:560 161.40897:531 161.41751:663 161.44032:518 161.45268:498 161.46716:588 161.48900:729 224.06946:787 226.60390:19675 226.61189:9256 241.37158:572 255.23320:4695 256.23651:3934 257.22855:782 257.23965:688 258.23141:1353 259.23492:615 279.23340:732 301.21780:7518 302.22125:8066 303.22424:3582 352.70218:531 369.17377:541 395.84451:463 418.73239:525 431.51099:574 481.31412:690 482.31607:944 742.71918:620 765.52869:1046 766.53210:7244 827.28882:515</t>
  </si>
  <si>
    <t>PC 36:4|PC 18:1_18:3</t>
  </si>
  <si>
    <t>FVQGNFUBHWGFCY-UHFFFAOYSA-N</t>
  </si>
  <si>
    <t>O=C(OCC(OC(=O)CCCCCCCC=CCC=CCC=CCC)COP(=O)([O-])OCC[N+](C)(C)C)CCCCCCCC=CCCCCCCCC</t>
  </si>
  <si>
    <t>826.55988:1606406 827.56454:797066 828.56921:228356</t>
  </si>
  <si>
    <t>50.92070:838 53.77814:780 56.86032:753 57.44578:819 59.13998:851 60.24317:763 60.88396:844 70.61312:970 74.21056:883 84.91162:1022 101.78414:828 104.66922:814 108.50027:974 112.75063:908 112.98548:1285 135.44125:1017 152.14589:969 160.88292:881 160.89874:948 160.92445:887 160.93231:938 160.94267:962 160.99870:1172 161.03906:1144 168.36951:866 195.62531:895 199.04137:952 212.94476:911 215.25119:879 224.49664:793 226.60339:54427 238.67725:860 277.21747:2738 278.22113:3617 279.22452:1508 279.23343:4504 280.23679:4520 281.23956:796 370.99561:894 532.46039:895 597.87634:956 650.27820:847 758.53412:1213 766.53027:2840</t>
  </si>
  <si>
    <t>826.56024:466644 827.56491:235468 828.56958:22623160</t>
  </si>
  <si>
    <t>50.23346:474 51.24142:520 56.93334:520 59.81005:547 64.12242:531 64.84676:462 66.89061:756 69.21198:562 91.76050:482 99.08705:503 105.76698:513 112.98566:1469 114.23769:494 119.88538:557 129.63846:568 153.09962:496 160.10196:512 161.25111:599 161.33049:842 161.33420:801 161.37119:662 161.37544:541 161.39777:676 161.87550:532 162.49767:560 174.02620:518 190.30862:496 207.40762:484 216.06258:477 218.39334:549 220.91902:529 226.60397:24903 226.61188:6169 226.61615:1094 253.21771:3760 253.23322:528 254.22107:2512 255.22389:875 259.24380:578 279.23267:669 303.23343:5499 304.23682:3810 304.25629:533 305.23981:1845 329.24902:1239 330.25281:1223 352.06763:474 365.73505:522 430.69785:544 452.78448:506 453.74121:569 480.30322:544 517.19324:566 521.65729:483 643.59595:701 688.68512:568 717.86053:564 766.53204:5342</t>
  </si>
  <si>
    <t>826.55975:76532712 827.56442:38177916 828.56909:10874209</t>
  </si>
  <si>
    <t>51.37065:562 52.23322:512 53.89476:578 58.21986:482 61.98818:987 63.10341:502 66.03601:530 68.38979:493 76.00203:530 80.89914:475 83.86591:469 86.32973:528 87.92139:470 89.75879:488 92.43552:601 97.29779:528 97.96409:508 102.90211:481 112.98521:707 113.18316:519 115.04007:1208 156.81165:526 160.67029:519 162.70721:541 162.73503:705 162.74452:493 164.76384:465 169.49883:483 170.96851:486 184.81374:520 226.59956:16451 226.60753:14678 257.22769:741 277.21786:1119 278.22089:1288 279.23312:767 280.23672:710 283.97711:512 301.21750:1136 319.22815:1369 362.22852:523 450.10123:564 464.31531:1236 468.98868:639 524.43231:598 653.30994:497 659.01996:555 688.86188:644 695.59387:495 749.47980:616 766.53741:2542</t>
  </si>
  <si>
    <t>PC O-37:4|PC O-17:0_20:4</t>
  </si>
  <si>
    <t>LAACIPHRNAJGOK-UHFFFAOYSA-N</t>
  </si>
  <si>
    <t>O=C(OC(COCCCCCCCCCCCCCCCCC)COP(=O)([O-])OCC[N+](C)(C)C)CCCCCCC=CCC=CCC=CCC=CCC</t>
  </si>
  <si>
    <t>826.59583:474346 827.60049:211560 828.60516:43981</t>
  </si>
  <si>
    <t>60.40845:807 60.98100:891 72.09048:904 74.16561:903 79.68532:821 91.82439:937 95.89269:820 100.46212:797 102.65198:856 104.59168:868 104.94580:879 107.07446:835 110.79017:936 120.59409:866 121.41212:844 123.96415:946 128.86494:943 149.01068:860 153.94640:930 160.09988:810 160.10449:1051 160.15457:938 160.17741:1194 160.23029:921 160.34566:870 163.47287:841 168.04321:1734 174.50371:890 205.19643:1380 213.45798:948 226.60611:54583 255.23355:2837 259.24335:6201 259.53293:877 279.23352:1831 303.23337:92743 305.24942:1960 310.23303:772 362.55188:916 366.50787:904 367.67874:837 391.26288:1554 394.30377:888 422.71994:965 436.56107:828 439.56064:895 462.33606:4069 475.90045:856 480.34702:13284 485.23392:887 485.42648:931 614.70959:888 704.64490:978 754.11530:995 766.53613:1402 766.57617:30307 767.60736:1372 826.59900:3098</t>
  </si>
  <si>
    <t>PC 36:3|PC 18:1_18:2</t>
  </si>
  <si>
    <t>GDWULUGDXGHJIJ-UHFFFAOYSA-N</t>
  </si>
  <si>
    <t>O=C(OCC(OC(=O)CCCCCCCC=CCC=CCCCCC)COP(=O)([O-])OCC[N+](C)(C)C)CCCCCCCC=CCCCCCCCC</t>
  </si>
  <si>
    <t>828.57471:29096014 829.57937:14296473 830.58404:4083460</t>
  </si>
  <si>
    <t>58.21572:734 60.14000:808 60.46741:1214 69.95292:797 78.95887:1779 83.43351:917 83.76132:840 98.12261:795 98.42522:811 108.77373:766 108.91287:754 122.54304:817 122.64213:720 124.29588:876 127.75657:802 138.03696:954 141.34233:870 147.53099:791 160.91974:1042 161.02774:984 161.03209:1020 161.04214:835 161.05034:932 162.60596:894 168.04330:12019 171.73337:870 186.24704:788 207.60219:955 208.43236:774 224.06960:7633 226.60641:52126 247.22256:838 253.21770:7341 255.23331:15611 256.23657:13348 257.23947:2069 259.24316:3464 260.24680:2231 279.23331:355818 281.24890:159066 303.23340:30766 304.23672:34629 305.09372:920 305.24014:16159 307.26447:18781 350.21515:863 417.24292:1517 438.00311:1103 481.31357:2521 482.31638:2411 486.30035:1610 488.31610:4384 491.50458:906 504.31122:3761 506.32642:18891 664.95264:874 715.61328:972 768.55438:99773 814.04608:920 828.57251:4146</t>
  </si>
  <si>
    <t>828.57471:4884967 829.57937:2400831 830.58404:692967</t>
  </si>
  <si>
    <t>55.81169:1983 57.19725:2054 59.43263:2216 60.36869:2136 61.58208:1848 61.96614:2413 64.20464:2065 64.77303:1717 66.54861:2182 76.66827:2131 78.95896:5021 79.09869:1969 82.39824:1874 85.86903:2175 91.62795:2025 93.90913:1957 99.21118:2012 99.98771:1842 103.03276:2233 103.25459:1895 105.85599:2766 112.44723:2126 116.09137:1809 118.03049:2310 120.18273:2221 128.29550:2242 135.65721:2055 141.19472:2410 152.99580:2504 162.65186:2332 162.66228:3257 162.68224:3094 162.69553:2083 168.04343:30369 183.35251:2423 198.64021:2496 217.60745:2342 224.06979:19496 224.43782:2167 226.60254:54356 226.61057:78375 279.23343:1040378 281.24905:415507 305.24908:5862 417.24240:4983 468.95248:2642 486.30026:5465 488.31555:10767 504.31042:10127 506.32660:59149 545.26202:2633 649.29395:2444 714.12457:2520 732.75488:3004 768.55597:246487 769.50226:2903 828.57776:7597</t>
  </si>
  <si>
    <t>PC 36:3|PC 16:0_20:3</t>
  </si>
  <si>
    <t>FHYXYDNOQOCPNC-UHFFFAOYSA-N</t>
  </si>
  <si>
    <t>O=C(OCC(OC(=O)CCCCCCCCCC=CCC=CCC=CCC)COP(=O)([O-])OCC[N+](C)(C)C)CCCCCCCCCCCCCCC</t>
  </si>
  <si>
    <t>828.57635:217899 829.58102:114230 830.58569:32173</t>
  </si>
  <si>
    <t>58.67157:549 60.53106:599 64.04823:494 64.34786:496 64.71174:504 81.41636:633 82.35967:532 100.20504:491 101.09689:545 105.88676:517 112.91047:518 112.98557:944 113.80323:521 115.82825:452 122.43401:500 132.28004:504 133.30246:639 135.34503:587 151.20010:474 160.60085:502 162.17218:670 162.18466:466 163.64233:513 164.40788:523 164.66849:565 168.04349:900 179.65785:496 213.11162:579 226.60092:3515 226.60878:29872 255.23341:10672 277.21783:5947 279.23364:4419 281.24884:1059 283.26511:1495 305.24924:31224 375.33987:560 408.52405:500 472.68436:600 473.10193:545 480.31137:2555 486.21280:574 508.34222:600 749.07617:528 766.24774:548 768.55603:13786 828.57678:771</t>
  </si>
  <si>
    <t>828.57568:41807844 829.58035:21212242 830.58502:5976521</t>
  </si>
  <si>
    <t>57.55164:535 58.12867:492 58.40582:472 59.03563:541 62.67358:576 66.20631:577 75.68163:514 78.57162:524 78.95892:806 80.35857:547 99.55202:507 100.16164:723 112.98559:1188 119.09672:548 133.00249:517 158.42854:525 158.89024:559 161.83855:644 161.86293:473 161.87379:719 161.87762:648 161.92162:521 163.97801:579 168.04327:5946 179.49988:614 193.31909:511 199.21719:586 214.26999:598 224.06953:3566 226.60130:21929 226.60931:10536 233.22800:675 239.30469:579 250.55598:571 255.23332:41461 277.21771:87703 279.23337:24462 281.24899:10771 283.26459:32843 303.23337:10200 304.23703:1496 305.24915:114347 327.23431:804 329.24850:1085 347.46729:574 440.43909:557 445.26520:611 462.30054:1934 468.99097:536 474.33624:711 480.16544:680 480.31082:7299 490.33182:1292 492.34662:1394 506.32654:1601 508.34198:6615 512.31812:620 530.32355:754 768.55560:54322 778.57666:1840 828.57513:2436</t>
  </si>
  <si>
    <t>PE O-44:8|PE O-22:2_22:6</t>
  </si>
  <si>
    <t>C49H84NO7P</t>
  </si>
  <si>
    <t>KYVMWOVSWAVLEE-UHFFFAOYSA-N</t>
  </si>
  <si>
    <t>O=C(OC(COCCCCCCCCCCCCC=CCC=CCCCCC)COP(=O)(O)OCCN)CCC=CCC=CCC=CCC=CCC=CCC=CCC</t>
  </si>
  <si>
    <t>828.59308:52621 829.59775:0 830.60241:66011</t>
  </si>
  <si>
    <t>50.46808:834 73.37468:801 76.24563:959 78.95884:903 81.17521:774 83.31311:755 88.07015:829 88.58019:906 95.57136:763 96.26738:848 101.08437:838 104.83255:798 107.34704:917 124.02013:867 126.69231:1009 131.96675:914 134.71994:819 148.55276:838 160.61772:892 160.64981:1084 160.68405:1020 160.73152:921 160.75153:1088 226.59784:2215 226.60452:52216 229.19699:861 239.45395:878 252.03784:849 269.29895:980 281.24933:5979 283.24365:3609 283.26492:1494 305.24911:1748 324.75745:857 327.23349:9080 373.15363:978 427.99033:954 479.33463:964 500.35162:1107 516.42944:1038 518.36389:4280 633.19745:872 701.78943:831 732.66254:834 744.55670:2168 768.55133:980 828.58972:1640</t>
  </si>
  <si>
    <t>828.65778:1945491 829.66244:1022637 830.66711:296352</t>
  </si>
  <si>
    <t>53.29933:648 59.01373:39095 59.40475:594 59.72680:548 60.76268:590 61.08122:583 61.98834:644 71.01372:40110 73.02942:3216 73.51016:708 75.38030:697 78.31011:657 81.93504:587 83.01373:1491 84.06281:522 84.13968:548 85.02943:4649 87.00864:2171 88.92583:601 89.02434:79454 93.27692:656 94.45951:750 95.01381:1312 95.33276:633 95.50098:574 100.93365:784 101.02441:64012 111.82588:591 113.02445:29778 119.03503:41874 119.39510:592 125.02444:679 131.03508:5383 135.07375:692 143.03513:7353 147.04494:662 149.04576:3306 158.97581:990 159.03033:1386 161.04582:8119 164.26027:696 179.05644:18214 194.54924:649 201.06888:659 226.59503:1007 226.60049:17975 226.60854:18606 236.27193:596 237.22284:3507 263.23865:3065 268.26581:746 270.62671:641 281.24918:887 310.04092:654 321.31735:1414 338.34360:5136 339.32764:9293 346.70242:567 351.94791:581 364.35922:12853 380.35428:2680 392.39075:807 468.95578:701 572.57922:3824 588.57581:682 590.58911:4951 602.58911:3112 620.60022:131295 684.84949:653 782.65265:67052</t>
  </si>
  <si>
    <t>SM 40:2;O2|SM 16:1;O2/24:1</t>
  </si>
  <si>
    <t>C45H89N2O6P</t>
  </si>
  <si>
    <t>FOULCGVQZYQEQM-UHFFFAOYSA-N</t>
  </si>
  <si>
    <t>O=C(NC(COP(=O)([O-])OCC[N+](C)(C)C)C(O)C=CCCCCCCCCCCC)CCCCCCCCCCCCCC=CCCCCCCCC</t>
  </si>
  <si>
    <t>829.64423:6768764 830.64889:3509916 831.65356:990129</t>
  </si>
  <si>
    <t>51.31417:1746 56.80016:1553 72.18031:1370 78.95887:69846 80.06794:1756 85.61606:1276 92.29537:1496 92.79429:1433 93.34434:1564 114.85480:1372 122.98529:12131 139.38795:1364 162.57553:1657 162.69728:1543 162.76538:1713 168.04327:287453 180.70482:1585 211.86917:1838 220.72717:1533 226.60451:93495 242.22995:1384 276.71060:1374 279.23343:2373 339.16904:1293 355.30661:1255 370.81314:1334 384.69788:1441 421.28464:2694 447.20953:1583 599.58820:1653 669.27441:1570 691.10950:1517 698.55042:4423 724.56494:2449 732.80975:1942 769.62335:508373 770.57129:5101 770.62720:4571 829.64471:7582</t>
  </si>
  <si>
    <t>PC 36:2|PC 18:0_18:2</t>
  </si>
  <si>
    <t>FORFDCPQKJHEBF-UHFFFAOYSA-N</t>
  </si>
  <si>
    <t>O=C(OCC(OC(=O)CCCCCCCC=CCC=CCCCCC)COP(=O)([O-])OCC[N+](C)(C)C)CCCCCCCCCCCCCCCCC</t>
  </si>
  <si>
    <t>830.59137:122066696 831.59604:60450208 832.60071:17386328</t>
  </si>
  <si>
    <t>52.73578:50387 63.33394:58484 63.36122:57092 72.53535:55045 77.35098:53327 78.95884:131394 103.01306:61323 106.57995:49078 107.09839:58283 110.30856:60834 130.88741:69228 139.41554:49943 153.13458:47706 161.35556:57110 161.60693:103529 161.61093:72298 161.62479:59399 161.67445:53876 161.69247:51840 168.04333:667446 168.47321:56655 179.10423:58155 180.30153:52019 193.92616:52258 224.06944:559590 226.60004:1292402 226.60809:1811061 231.14215:55744 255.23318:78762 279.23328:26618554 281.24911:210797 283.26456:9017645 286.25415:52867 293.18869:52789 295.40948:58680 298.63773:53087 307.26443:90967 335.22842:82035 339.66611:55573 395.20477:52875 419.25772:112660 468.93698:49752 486.30103:198657 490.33173:314406 504.31076:263654 508.34204:1432506 538.34149:52266 602.39795:54102 770.57098:6065250 830.59021:220280</t>
  </si>
  <si>
    <t>PC 36:2|PC 18:1_18:1</t>
  </si>
  <si>
    <t>SNKAWJBJQDLSFF-UHFFFAOYSA-N</t>
  </si>
  <si>
    <t>O=C(OCC(OC(=O)CCCCCCCC=CCCCCCCCC)COP(=O)([O-])OCC[N+](C)(C)C)CCCCCCCC=CCCCCCCCC</t>
  </si>
  <si>
    <t>830.59229:195075504 831.59695:97418728 832.60162:27428622</t>
  </si>
  <si>
    <t>52.59546:872 60.10104:965 61.98822:4528 66.69421:865 70.13434:943 77.52155:879 91.25344:923 99.86362:777 102.02601:800 105.21208:943 110.08267:769 111.57153:809 112.67456:790 112.98565:1532 115.18674:845 120.58038:849 126.13644:846 129.54182:746 134.75552:945 148.17661:937 150.02045:869 156.15593:777 160.22430:956 160.23653:1010 160.28685:1023 160.29031:1480 160.30544:1012 160.33910:1098 160.34738:891 168.04329:1740 175.36838:810 177.01418:862 203.74818:772 207.96614:783 216.08966:949 224.06961:1126 226.60510:51388 226.61292:3747 239.71753:848 254.57088:905 255.23320:2083 259.35602:865 279.23355:8200 281.24918:48369 283.26538:1246 303.23346:1142 305.24933:3057 306.25281:2707 307.26511:1957 327.23447:1611 342.60764:872 358.78687:1068 392.60245:915 506.32617:2856 559.60559:1022 709.71173:853 770.57037:15702 822.13263:961 830.58917:1162</t>
  </si>
  <si>
    <t>SM 40:1;O2|SM 18:1;O2/22:0</t>
  </si>
  <si>
    <t>C45H91N2O6P</t>
  </si>
  <si>
    <t>FJJANLYCZUNFSE-UHFFFAOYSA-N</t>
  </si>
  <si>
    <t>O=C(NC(COP(=O)([O-])OCC[N+](C)(C)C)C(O)C=CCCCCCCCCCCCCC)CCCCCCCCCCCCCCCCCCCCC</t>
  </si>
  <si>
    <t>831.65991:32615370 832.66458:16868000 833.66925:4647510</t>
  </si>
  <si>
    <t>50.41666:13187 53.38070:13657 55.45836:11778 61.55474:12880 63.85751:11374 65.92276:12583 67.98909:12220 68.57034:13309 75.86681:13952 78.95892:351290 84.05891:12408 85.06084:14116 91.25227:12029 92.09837:13191 97.61599:12504 98.18307:12682 99.80283:12988 117.69975:13983 122.98534:80280 126.05936:16638 164.28217:14567 165.67070:13672 167.02170:13979 168.04338:1831358 208.88104:13209 226.60451:839924 251.39549:10934 276.55911:16094 285.60300:11849 301.17801:13773 337.06329:15839 388.60657:12736 411.75571:14003 422.06479:12164 436.51678:14469 449.31622:20721 482.31882:14937 545.87268:14551 639.85809:15444 674.94922:13465 700.56427:34196 771.63928:3909924 772.64246:30885 831.65826:67736</t>
  </si>
  <si>
    <t>PC 36:1|PC 18:0_18:1</t>
  </si>
  <si>
    <t>C44H86NO8P</t>
  </si>
  <si>
    <t>ATHVAWFAEPLPPQ-UHFFFAOYSA-N</t>
  </si>
  <si>
    <t>O=C(OCC(OC(=O)CCCCCCCC=CCCCCCCCC)COP(=O)([O-])OCC[N+](C)(C)C)CCCCCCCCCCCCCCCCC</t>
  </si>
  <si>
    <t>832.60657:41157448 833.61124:20778436 834.61590:6028651</t>
  </si>
  <si>
    <t>50.98001:4134 68.13766:4054 73.46524:4053 76.69806:4490 78.95893:16753 81.41724:5432 81.48198:4404 84.79539:3898 87.98592:4337 90.18929:4384 91.51469:4510 112.89576:4213 120.97679:4978 147.28197:4918 160.39330:4457 160.41327:5079 160.41701:5904 160.51790:5073 161.48784:5143 161.50623:4419 161.59253:4897 168.04330:81294 176.53662:4452 183.18965:5220 199.68288:4589 224.06964:45563 226.60150:97867 240.48753:4368 255.23323:169948 278.00433:5127 281.24893:2280691 283.26456:797361 309.28030:396164 325.04248:4634 347.76962:4552 363.99292:4426 419.25842:5677 424.35913:4051 425.88327:4741 458.52380:4093 462.30054:7241 480.31116:19380 488.31628:13845 490.33179:30257 506.32736:21532 508.34210:122720 523.98535:3985 647.08307:4003 772.58704:618674 772.63086:39050 773.53308:5650 773.59119:7630 832.60675:19586</t>
  </si>
  <si>
    <t>832.60699:5468609 833.61166:2741004 834.61633:792886</t>
  </si>
  <si>
    <t>51.40548:706 53.31602:639 54.26288:663 56.64819:659 57.92305:617 58.85212:676 67.78099:741 69.69692:671 78.95885:2152 80.89233:653 84.90479:603 85.10377:615 90.06106:674 100.95914:704 112.98569:862 123.24941:690 123.93880:787 149.47697:682 152.99570:932 155.76300:570 155.87927:663 159.63953:596 159.72780:651 160.15558:785 160.16916:700 160.17992:820 160.30128:803 160.35010:785 160.35440:635 168.04333:12449 182.07187:702 224.06969:7998 225.57611:802 226.60231:13692 226.61023:26596 247.18129:831 255.22549:1306 255.23340:15968 264.66696:639 277.57056:686 279.23380:629 281.24911:395104 283.26471:135393 283.28531:1069 291.94806:642 298.34827:648 309.12564:812 309.28058:44633 323.83740:632 339.68396:731 419.25739:1044 478.10767:763 480.31076:2496 488.31647:2645 490.33142:2796 506.32675:2880 508.34247:19398 772.58728:101417 832.60876:5012</t>
  </si>
  <si>
    <t>PE O-44:6|PE O-24:2_20:4</t>
  </si>
  <si>
    <t>C49H88NO7P</t>
  </si>
  <si>
    <t>ARUYZDQWJVSCEX-UHFFFAOYSA-N</t>
  </si>
  <si>
    <t>O=C(OC(COCCCCCCCCCCCCC=CCC=CCCCCCCC)COP(=O)(O)OCCN)CCCCCCC=CCC=CCC=CCC=CCC</t>
  </si>
  <si>
    <t>832.62372:99247 833.62839:50947 834.63305:14614</t>
  </si>
  <si>
    <t>50.68154:952 54.70365:930 62.00607:840 62.44946:820 67.82383:836 67.88007:808 76.46996:829 78.95893:1901 88.84438:865 91.45474:769 92.16994:882 96.14665:975 97.25979:909 108.91718:898 135.47813:793 148.34636:867 156.28963:911 161.90343:1142 161.91942:969 161.95384:889 161.96909:987 161.98601:879 162.88774:773 168.04338:5963 177.12231:954 214.79582:844 226.60452:55189 228.06621:910 239.31291:831 245.49760:841 252.78430:891 254.94218:922 259.24405:933 281.24878:1466 290.18231:785 301.95517:877 303.23352:31382 367.66821:868 376.84955:858 502.72809:973 528.38336:1981 546.39368:4661 689.23328:915 772.59143:1278 772.64215:13571 832.62079:2559</t>
  </si>
  <si>
    <t>PI 34:2|PI 16:0_18:2</t>
  </si>
  <si>
    <t>C43H79O13P</t>
  </si>
  <si>
    <t>BSNJSZUDOMPYIR-UHFFFAOYSA-N</t>
  </si>
  <si>
    <t>O=C(OCC(OC(=O)CCCCCCCC=CCC=CCCCCC)COP(=O)(O)OC1C(O)C(O)C(O)C(O)C1O)CCCCCCCCCCCCCCC</t>
  </si>
  <si>
    <t>833.51910:278067 834.52377:133127 835.52844:38940</t>
  </si>
  <si>
    <t>51.91231:516 55.90489:492 56.76936:538 57.64089:602 60.35057:619 75.17374:576 78.95892:2547 96.96970:684 112.74855:491 112.98579:1434 114.39656:650 128.04340:567 138.32883:582 152.99600:5786 158.97594:1042 160.03320:542 160.12009:558 160.14459:791 160.18927:552 160.19514:734 160.20033:527 160.23654:734 160.24051:557 160.24776:733 160.36490:589 188.11032:530 206.53926:561 223.00169:3316 226.60539:28813 226.61317:3515 227.77933:547 237.18330:550 239.33232:735 241.01234:15882 255.23344:18011 257.46255:517 259.02319:1812 259.63934:486 278.91473:483 279.23349:20557 279.24323:996 287.70209:505 293.70471:542 297.03860:3583 307.53174:504 315.04926:1243 316.55515:537 334.73303:509 391.22662:9375 396.83206:631 415.22757:944 416.36020:572 445.53842:577 553.27979:8662 556.35699:535 571.28979:1437 577.28082:955 732.93439:778 833.51965:11985</t>
  </si>
  <si>
    <t>PC O-38:7|PC O-16:1_22:6</t>
  </si>
  <si>
    <t>LSUUYCOJTDXYNX-UHFFFAOYSA-N</t>
  </si>
  <si>
    <t>O=C(OC(COCCCCCCCCC=CCCCCCC)COP(=O)([O-])OCC[N+](C)(C)C)CCC=CCC=CCC=CCC=CCC=CCC=CCC</t>
  </si>
  <si>
    <t>834.56458:135022 835.56924:64993 836.57391:21413</t>
  </si>
  <si>
    <t>50.84875:490 53.09462:529 53.23421:508 53.47736:470 60.29488:482 61.44480:523 65.95071:631 67.78371:477 76.91655:492 92.61478:486 100.93386:538 102.95685:1814 104.95405:655 112.98574:871 121.68578:563 131.09721:493 144.45200:563 158.97575:553 160.27841:617 160.35886:728 160.36758:533 160.37686:657 160.42064:588 160.42509:649 160.43147:799 174.67488:558 210.69347:533 226.60037:1147 226.60709:30986 229.19633:958 283.22043:556 283.24347:7296 303.23380:831 327.23361:20240 342.55951:616 446.30612:1257 464.31595:7266 525.29663:545 567.02380:612 662.01495:596 669.38916:669 725.48798:658 732.15198:521 732.72113:635 774.54535:9499 828.11664:624 834.56866:602</t>
  </si>
  <si>
    <t>PC O-38:7|PC O-18:3_20:4</t>
  </si>
  <si>
    <t>ULKXYQUUUSQOKM-UHFFFAOYSA-N</t>
  </si>
  <si>
    <t>O=C(OC(COCCCCCCCCC=CCC=CCC=CCC)COP(=O)([O-])OCC[N+](C)(C)C)CCCCCCC=CCC=CCC=CCC=CCC</t>
  </si>
  <si>
    <t>834.56549:55826 835.57016:29064 836.57483:10287</t>
  </si>
  <si>
    <t>54.29492:515 67.23973:501 72.34296:486 73.36657:457 77.60917:557 78.06906:507 106.01375:522 112.98576:1001 122.13568:505 135.54961:553 152.27319:570 156.79073:532 159.22772:516 160.48795:494 160.55794:658 160.58107:628 160.66861:629 201.38437:542 226.59929:7646 226.60724:24005 236.94131:693 259.24396:1092 301.21771:680 302.99667:494 303.23346:12704 319.22891:1556 327.23380:773 375.48056:567 431.09454:562 442.14081:508 464.31686:697 488.31656:2581 538.33380:506 557.84247:528 709.80573:590 766.53992:810 774.54651:3723 815.57697:681</t>
  </si>
  <si>
    <t>834.56506:103853 835.56973:56239 836.57440:18364</t>
  </si>
  <si>
    <t>52.26198:858 63.90711:790 68.38696:851 68.68613:858 69.27316:847 78.41634:859 88.24535:849 88.26903:871 98.83176:849 99.95905:934 132.23076:814 151.34883:734 154.95306:931 163.67595:913 163.69887:1007 163.72664:876 170.12346:797 178.10139:853 178.54300:824 180.69025:814 182.05301:815 189.91792:903 197.97426:1043 226.60645:53118 238.89552:869 248.47928:860 259.24362:1893 277.85016:1016 297.80103:771 303.23346:20628 313.28931:818 319.22870:1622 327.23392:1898 432.08304:793 488.31750:2457 550.94116:927 685.72180:893 687.42950:867 732.76886:1684 732.80786:1271 766.53992:1324 774.54510:5896 781.95703:930 783.62775:890</t>
  </si>
  <si>
    <t>PC 36:0|PC 18:0_18:0</t>
  </si>
  <si>
    <t>C44H88NO8P</t>
  </si>
  <si>
    <t>NRJAVPSFFCBXDT-UHFFFAOYSA-N</t>
  </si>
  <si>
    <t>O=C(OCC(OC(=O)CCCCCCCCCCCCCCCCC)COP(=O)([O-])OCC[N+](C)(C)C)CCCCCCCCCCCCCCCCC</t>
  </si>
  <si>
    <t>834.62207:260267 835.62674:130649 836.63141:35454</t>
  </si>
  <si>
    <t>51.27892:513 52.53385:530 58.18530:540 60.78075:541 78.95892:2085 90.25050:611 93.56308:546 120.11662:513 121.39798:490 122.53716:519 123.08913:529 128.10484:585 130.50533:544 147.35683:506 160.66711:750 168.04330:7540 169.04666:1434 170.04765:1993 185.14745:475 195.38206:611 224.06961:1204 226.59831:3186 226.60606:31163 255.23338:5800 262.37372:547 283.26477:81590 311.29623:4077 346.57526:523 384.77081:553 389.67780:641 395.73636:555 488.40735:597 490.33197:1250 508.34183:4358 554.10577:558 772.64337:1528 773.64728:1081 774.60242:16690 774.64868:16033 834.62286:1057</t>
  </si>
  <si>
    <t>PE O-44:5|PE O-24:1_20:4</t>
  </si>
  <si>
    <t>C49H90NO7P</t>
  </si>
  <si>
    <t>VLIXVBGLLMZVNI-UHFFFAOYSA-N</t>
  </si>
  <si>
    <t>O=C(OC(COCCCCCCCCCCCCC=CCCCCCCCCCC)COP(=O)(O)OCCN)CCCCCCC=CCC=CCC=CCC=CCC</t>
  </si>
  <si>
    <t>834.63721:34690 835.64187:18728 836.64654:6211</t>
  </si>
  <si>
    <t>53.50834:564 53.86727:489 54.34516:512 57.35550:489 59.52409:488 61.98822:9591 67.50596:464 67.67400:545 78.95899:1356 79.25378:445 82.48846:504 90.14272:554 98.59007:558 108.52413:558 116.19139:578 149.90366:528 159.94789:649 160.45662:500 160.85536:478 168.04330:3822 194.51378:523 200.16965:519 210.58862:492 226.60666:34073 258.16589:569 259.24405:1417 282.25238:944 283.26471:1165 303.23349:28029 329.25003:645 360.25165:580 375.96970:527 420.44470:491 488.49020:530 518.89282:724 520.21021:597 523.41467:515 530.40033:1472 548.40985:4253 586.43982:553 757.62451:772 774.59656:560 784.64337:7714 789.78467:600 799.94775:518 834.63733:1957</t>
  </si>
  <si>
    <t>PI 34:1|PI 16:0_18:1</t>
  </si>
  <si>
    <t>C43H81O13P</t>
  </si>
  <si>
    <t>PDLAMJKMOKWLAJ-UHFFFAOYSA-N</t>
  </si>
  <si>
    <t>O=C(OCC(OC(=O)CCCCCCCC=CCCCCCCCC)COP(=O)(O)OC1C(O)C(O)C(O)C(O)C1O)CCCCCCCCCCCCCCC</t>
  </si>
  <si>
    <t>835.53296:1830074 836.53763:877317 837.54229:281827</t>
  </si>
  <si>
    <t>52.94546:501 64.91449:528 67.76572:498 68.26908:470 70.56651:498 70.80068:583 71.02109:526 77.27220:515 78.95891:3369 80.05840:509 90.24971:504 94.50990:477 96.96964:964 97.66139:515 106.19771:472 110.18765:501 111.92403:567 124.38531:531 129.58147:502 132.76848:517 152.99608:6603 160.74553:607 160.80304:726 160.84192:587 160.84714:786 160.85109:688 166.84839:543 186.11681:553 188.66737:581 193.05161:548 193.81328:601 216.84196:587 223.00175:5536 226.60014:13702 226.60826:17633 227.10962:516 231.43138:560 241.01227:27502 242.60626:482 247.83664:534 248.76396:632 253.21782:2930 255.23332:25561 257.37415:550 259.02301:2401 264.09354:565 273.45041:512 281.24908:28244 283.26495:2836 291.42398:556 297.03873:2813 301.21805:882 302.22089:1353 303.23441:709 315.04916:1521 339.28076:651 391.22623:13364 417.24219:2614 419.12155:599 419.25854:1364 428.69980:616 553.27960:10417 571.28986:1793 579.29462:3666 581.31140:1448 599.32220:604 683.89819:609 701.20923:532 775.54755:609 835.53473:16510</t>
  </si>
  <si>
    <t>PC 37:6|PC 15:0_22:6</t>
  </si>
  <si>
    <t>GEINPYKZLFHHIL-UHFFFAOYSA-N</t>
  </si>
  <si>
    <t>O=C(OCC(OC(=O)CCC=CCC=CCC=CCC=CCC=CCC=CCC)COP(=O)([O-])OCC[N+](C)(C)C)CCCCCCCCCCCCCC</t>
  </si>
  <si>
    <t>836.54346:452430 837.54812:226535 838.55279:66592</t>
  </si>
  <si>
    <t>55.47067:494 59.74625:632 61.98816:1216 63.04961:621 64.20565:614 70.63499:500 71.22520:524 74.74149:544 78.22775:484 78.95889:1219 90.71128:515 98.71685:578 100.93353:644 104.95399:799 107.58327:519 112.98566:607 127.80142:486 132.07747:479 132.71829:526 139.54640:659 150.25978:539 152.99603:1266 160.35196:717 168.04320:1728 187.47331:505 206.10538:555 223.00165:807 224.06953:1211 226.60611:33102 229.19638:1855 241.01215:2910 241.21744:20101 242.01515:890 243.01706:682 244.35904:527 255.23346:1553 256.23694:1583 279.23346:2723 280.23663:1746 283.24344:11376 312.68787:553 327.23334:32835 388.52435:481 391.22662:699 392.23016:1313 393.23230:725 394.23383:716 428.03036:555 434.75937:542 448.28439:931 466.29501:4154 468.08823:630 480.19919:583 554.28241:824 555.28589:1153 732.75177:631 776.52362:14717 836.52948:4426</t>
  </si>
  <si>
    <t>PC O-38:6|PC O-16:0_22:6</t>
  </si>
  <si>
    <t>C46H82NO7P</t>
  </si>
  <si>
    <t>QQQQNYAHSSIZBU-UHFFFAOYSA-N</t>
  </si>
  <si>
    <t>O=C(OC(COCCCCCCCCCCCCCCCC)COP(=O)([O-])OCC[N+](C)(C)C)CCC=CCC=CCC=CCC=CCC=CCC=CCC</t>
  </si>
  <si>
    <t>836.57941:174416 837.58407:91879 838.58874:25227</t>
  </si>
  <si>
    <t>50.06539:851 54.06574:804 54.08852:916 56.69430:1000 62.20706:866 64.41776:996 67.40879:872 71.47579:814 74.96527:944 76.35818:793 90.06292:818 98.45300:973 106.25014:924 113.32597:773 116.80331:793 131.34665:872 140.65540:786 159.51060:763 160.35416:1036 160.50064:1006 160.51352:829 160.51822:1003 160.56642:1067 160.59120:812 186.31558:960 192.44267:854 226.60085:4999 226.60864:46785 229.76370:783 245.61543:893 251.62837:811 279.23318:1416 283.24338:4974 327.23349:22291 448.32147:1678 466.33200:6042 606.19000:895 618.63843:994 631.92969:910 713.17511:889 732.76678:1143 743.97552:814 776.55988:11714 821.58716:933</t>
  </si>
  <si>
    <t>PC O-38:6|PC O-18:2_20:4</t>
  </si>
  <si>
    <t>BOHZCIJMIPHZKG-UHFFFAOYSA-N</t>
  </si>
  <si>
    <t>O=C(OC(COCCCCCCCCC=CCC=CCCCCC)COP(=O)([O-])OCC[N+](C)(C)C)CCCCCCC=CCC=CCC=CCC=CCC</t>
  </si>
  <si>
    <t>836.57825:1337203 837.58291:724051 838.58758:192424</t>
  </si>
  <si>
    <t>59.20794:817 66.20878:821 66.41187:753 66.95461:831 77.13068:689 83.52673:803 86.30451:910 88.91635:790 90.91928:895 94.92512:1014 109.93990:825 134.44897:844 150.17993:852 162.80336:964 162.93716:909 163.40025:828 171.12914:1122 188.97148:801 205.19656:1062 222.57213:797 226.60454:55668 259.24344:2442 303.23349:33465 314.20905:872 407.29642:1040 472.32239:2219 490.33142:5911 497.86346:818 575.50635:908 647.61969:1049 678.22754:1132 776.56146:9600</t>
  </si>
  <si>
    <t>836.57880:129928 837.58346:69285 838.58813:13818</t>
  </si>
  <si>
    <t>51.81468:917 69.37959:1007 71.41285:785 78.95892:1233 85.43153:838 86.26819:853 90.00668:968 90.99586:831 93.62041:803 93.96260:1078 94.78578:775 94.90961:854 101.03107:770 114.99872:921 134.44771:857 141.88789:902 152.99622:991 161.82034:873 161.82532:1015 161.85368:918 161.91357:758 167.24937:769 183.49373:800 192.19547:820 203.65044:837 223.00168:1651 226.59962:15844 226.60757:36033 228.57469:987 241.01247:3823 242.01663:1018 255.23352:3850 256.23691:2350 259.24390:2484 281.24905:3151 282.25299:2443 303.23358:34545 355.02109:1014 374.48990:886 391.22687:2073 394.93472:948 472.32114:2270 490.33096:4241 506.64581:887 553.28052:1109 554.28400:1797 636.41150:1031 639.61743:1055 730.95447:950 776.56104:8363 835.01099:1011 836.54053:4889 836.58270:1047</t>
  </si>
  <si>
    <t>PC O-38:6|PC O-16:1_22:5</t>
  </si>
  <si>
    <t>KZDPOECNBMTMCM-UHFFFAOYSA-N</t>
  </si>
  <si>
    <t>O=C(OC(COCCCCCCCCC=CCCCCCC)COP(=O)([O-])OCC[N+](C)(C)C)CCCCCC=CCC=CCC=CCC=CCC=CCC</t>
  </si>
  <si>
    <t>836.57935:250971 837.58401:139469 838.58868:504297</t>
  </si>
  <si>
    <t>55.93930:485 60.09167:506 61.98825:927 72.20225:533 72.58525:519 74.83475:551 78.03477:556 84.86021:589 88.57745:450 92.92797:1616 102.95679:1043 117.99078:555 118.02338:577 153.02977:525 155.74284:491 160.17067:531 161.04416:673 161.04861:848 161.06493:674 161.12828:702 168.04294:533 226.59979:1137 226.60661:32676 239.58655:515 285.25964:1557 293.41003:501 301.21796:1152 303.23334:4219 323.58182:540 329.24911:10185 373.43777:540 464.31534:1237 490.33313:965 732.66998:782 776.33783:586 776.56091:3459</t>
  </si>
  <si>
    <t>PC 37:5|PC 17:1_20:4</t>
  </si>
  <si>
    <t>GGSPKQXXUZFLNX-UHFFFAOYSA-N</t>
  </si>
  <si>
    <t>O=C(OCC(OC(=O)CCCCCCC=CCC=CCC=CCC=CCC)COP(=O)([O-])OCC[N+](C)(C)C)CCCCCCCC=CCCCCCCC</t>
  </si>
  <si>
    <t>838.55908:104833 839.56375:55621 840.56842:16040</t>
  </si>
  <si>
    <t>50.76980:811 50.97807:792 52.31208:773 53.91466:816 61.03553:870 70.80889:776 71.61588:824 72.64106:815 73.96490:878 80.13885:843 88.44646:887 92.80262:844 94.65381:840 109.62835:994 122.66706:910 128.68997:921 161.81393:1094 161.83165:996 161.85533:834 161.92401:1324 161.93970:986 163.94606:999 200.24849:820 213.99767:855 214.27351:853 220.46609:1015 226.59966:15788 226.60757:36345 241.21741:4031 254.72246:860 259.24380:884 267.23352:3111 267.33792:891 270.24496:858 303.23380:9264 329.24936:11726 371.25482:952 442.68311:904 462.79791:810 480.69125:836 492.31158:1184 549.95923:847 605.16199:854 609.32849:955 778.54254:3418 779.59937:983</t>
  </si>
  <si>
    <t>PC O-38:5|PC O-16:1_22:4</t>
  </si>
  <si>
    <t>C46H84NO7P</t>
  </si>
  <si>
    <t>DXWWZGSYACJKKM-UHFFFAOYSA-N</t>
  </si>
  <si>
    <t>O=C(OC(COCCCCCCCCC=CCCCCCC)COP(=O)([O-])OCC[N+](C)(C)C)CCCCCCCCC=CCC=CCC=CCC=CCC</t>
  </si>
  <si>
    <t>838.59503:132072 839.59970:77934 840.60437:41362</t>
  </si>
  <si>
    <t>51.15068:982 56.83173:840 65.63039:906 76.24715:775 78.10739:821 80.78524:790 87.21038:868 99.02259:775 124.24975:916 134.28026:854 149.58932:969 152.38654:886 155.82297:894 160.26720:897 160.29327:1008 160.37431:855 164.61736:798 167.31813:800 226.60501:46763 226.61308:6916 226.61664:2014 255.23347:1746 279.23331:983 287.27478:934 295.09344:821 311.46988:824 314.96625:871 321.32196:814 328.27429:865 331.26486:31920 398.38828:1029 446.30484:1427 451.90527:845 464.31625:4476 514.94202:834 732.82288:1141 778.57721:7908 821.70050:1163</t>
  </si>
  <si>
    <t>838.59467:1168687 839.59933:562378 840.60400:292865</t>
  </si>
  <si>
    <t>50.30490:773 51.00680:887 55.10124:848 55.74240:792 57.72250:906 60.19152:810 60.95452:767 65.96683:847 66.20869:801 67.94460:897 68.56330:785 77.95390:770 91.97095:982 93.32155:983 97.31184:953 98.59687:824 111.98768:1137 112.30540:841 124.60946:797 124.72877:797 131.18701:741 136.65370:880 140.61292:750 145.90184:910 145.98511:945 157.80998:842 161.26071:809 161.35181:855 161.36354:802 161.37595:912 161.42273:911 161.43878:1014 161.44266:1137 161.49940:1614 161.51544:896 167.69363:884 168.04330:1771 168.82605:898 183.15733:996 199.36621:905 217.46700:960 221.07874:816 226.60196:20895 241.83688:901 246.67230:917 261.58023:1040 279.23297:5060 283.26480:1544 303.23322:4250 304.67990:919 305.24939:2296 330.49023:927 330.79135:910 331.26489:72534 332.74686:827 357.06427:988 401.82355:834 446.30579:2246 464.31613:7451 642.70062:974 653.98553:933 770.56958:1365 778.57648:16219</t>
  </si>
  <si>
    <t>PC O-38:5|PC O-18:1_20:4</t>
  </si>
  <si>
    <t>YPEVVVCDYBKGNI-UHFFFAOYSA-N</t>
  </si>
  <si>
    <t>O=C(OC(COCCCCCCCCC=CCCCCCCCC)COP(=O)([O-])OCC[N+](C)(C)C)CCCCCCC=CCC=CCC=CCC=CCC</t>
  </si>
  <si>
    <t>838.59583:11341469 839.60049:5938232 840.60516:1708879</t>
  </si>
  <si>
    <t>51.64653:1029 52.27866:915 53.99110:1025 57.83264:757 57.94587:946 59.93853:796 60.08280:1027 68.56674:808 78.95902:1792 90.69392:827 93.53212:871 94.29353:810 94.92513:2382 94.94914:962 94.99502:1275 98.14341:970 111.66156:998 112.98546:949 134.12225:776 138.54926:838 138.98259:810 139.07249:791 142.22504:772 149.81711:954 152.99614:1141 160.27048:887 160.43495:983 160.43979:871 160.47385:1133 160.48019:942 160.48570:946 160.48993:991 160.52751:1054 161.76907:811 163.14645:1000 168.04356:1724 188.40314:865 190.01665:888 201.88416:831 205.19624:1178 218.21701:917 226.60643:53661 241.01231:4638 242.01520:891 255.23320:1774 259.24368:5361 279.23346:8691 281.24957:1032 283.26480:2598 286.26364:1061 301.21799:1700 303.23367:98089 305.24899:7626 320.96124:967 329.24908:4494 330.25287:4755 331.25583:1726 366.34647:850 403.26328:993 419.25769:1890 468.94281:968 474.33691:6454 492.34732:14752 549.49261:871 675.12219:959 729.14673:952 732.72296:1141 778.57642:35037 778.62067:2035 838.55347:2330 838.59845:1478</t>
  </si>
  <si>
    <t>838.59521:6331488 839.59988:3324170 840.60455:939008</t>
  </si>
  <si>
    <t>59.01373:1818 67.68803:1711 73.38663:1728 75.32492:1716 78.95882:2969 79.89246:1458 81.27680:1617 89.31746:1547 96.96006:2383 98.22878:1657 104.65454:1882 109.10079:1545 109.54986:1454 120.59334:1738 125.61585:1562 130.49413:1623 142.16544:1600 146.59639:1401 156.67064:1383 160.20091:1440 160.68312:1656 160.68690:1666 160.70451:1431 160.75839:1672 162.66924:1464 164.22385:1413 168.04333:5187 177.87027:1786 180.10748:1601 183.54588:1574 190.53476:1637 194.83638:1464 205.19643:8252 208.34041:1451 208.66565:1474 226.59938:25409 231.21288:1752 233.89050:1486 239.46957:1529 253.94156:1570 259.23529:3209 259.24341:46029 261.13861:1605 274.49139:1436 278.65594:1394 285.22324:2564 285.25894:7225 299.92410:1459 300.48752:1548 303.23346:857112 304.23666:8082 307.96094:1621 314.92075:1606 329.24918:102813 377.24686:1864 403.26154:8019 448.32065:3403 466.33179:11953 474.33667:33624 492.34717:116760 556.13788:2048 778.57623:203998 838.59583:7595</t>
  </si>
  <si>
    <t>PC 37:4|PC 17:0_20:4</t>
  </si>
  <si>
    <t>HTEFXTFZCGTMAC-UHFFFAOYSA-N</t>
  </si>
  <si>
    <t>O=C(OCC(OC(=O)CCCCCCC=CCC=CCC=CCC=CCC)COP(=O)([O-])OCC[N+](C)(C)C)CCCCCCCCCCCCCCCC</t>
  </si>
  <si>
    <t>840.57318:2072886 841.57785:1075488 842.58252:303479</t>
  </si>
  <si>
    <t>51.52866:978 51.99602:867 53.08223:987 53.48079:889 53.59879:1025 54.04168:909 59.01368:2103 64.22048:990 74.95994:920 75.60836:840 78.95883:1713 96.95985:1033 100.99033:788 102.04387:866 107.09276:894 126.02215:889 137.90718:895 138.36656:1021 144.90556:960 152.48032:871 154.71109:892 160.44806:786 160.66397:1096 160.73694:921 160.76491:1313 160.76901:932 161.52328:829 162.71011:947 168.04324:6101 201.70680:888 205.19649:2489 224.06934:4461 226.60025:37311 226.60828:16682 226.61757:986 230.24178:803 259.24329:13343 260.24655:2776 269.24884:70132 278.89056:972 283.24341:1445 285.22302:1308 289.21814:1112 297.69843:859 303.23337:219492 304.23672:52693 305.23999:16818 319.13409:896 327.23334:4438 329.24854:4619 330.25211:6210 331.25607:3167 344.87967:933 363.86224:962 397.12186:1051 404.26746:1139 421.58817:1158 474.33667:1203 475.33939:2220 476.31641:1903 492.34705:3008 493.35043:6793 494.32623:15403 494.35291:4537 528.31018:1127 529.88434:1028 662.99847:961 708.43439:1021 778.57721:1560 779.58087:1675 780.55457:28332 780.58759:11191 808.69006:1123 840.57434:2010</t>
  </si>
  <si>
    <t>840.57349:1661243 841.57815:821503 842.58282:260891</t>
  </si>
  <si>
    <t>51.97827:915 57.34861:918 57.62376:821 58.84213:860 60.79609:818 65.35645:914 68.46419:938 70.71813:800 73.48027:856 74.11023:960 74.52608:834 76.87981:858 78.95886:2058 87.89336:806 90.43369:806 90.82704:837 93.53320:906 96.30482:800 96.89828:1004 98.27409:979 99.13068:836 110.14699:943 113.88545:805 118.11652:1010 119.14499:812 122.66356:979 124.86406:948 141.90582:968 146.91440:848 158.84579:900 162.90622:787 162.92381:871 162.95813:1512 164.80470:888 165.60938:917 168.04327:5713 175.47018:1049 179.94016:861 205.19655:2937 206.19987:1278 208.46118:874 217.61957:912 224.06960:4597 226.60077:31034 226.60872:25482 255.70650:889 259.24335:12094 260.24680:1890 269.24899:72175 283.24399:1402 285.22253:872 303.23349:226542 303.96472:884 304.23676:42944 305.18378:1073 305.23984:13481 309.00159:904 327.23413:4454 329.24902:3533 330.25208:5231 331.25592:1602 358.35269:927 367.60410:924 382.06934:903 394.96713:965 430.79861:809 475.33929:2426 476.31580:3379 492.34756:3449 493.35107:7308 494.32657:16609 494.35315:4231 510.29974:1068 545.93213:990 558.77246:1095 567.41492:840 595.54913:954 613.03796:907 682.27014:873 772.52875:1310 779.57959:2346 780.54993:39631 796.45697:876 801.60168:1149 817.73700:945</t>
  </si>
  <si>
    <t>840.57379:789237 841.57846:396803 842.58313:112391</t>
  </si>
  <si>
    <t>50.50607:509 53.74480:550 55.30391:516 57.87642:527 61.40232:547 62.52073:542 97.66194:505 98.63612:569 118.57304:566 130.35555:528 135.39479:554 160.68158:554 160.71257:684 160.73079:559 160.73453:962 160.74510:703 160.86557:545 168.04338:1157 181.21979:559 181.87009:489 189.85008:507 205.19621:552 205.29639:597 210.60660:488 224.06952:535 226.59828:1989 226.60452:32193 259.24390:2176 269.24899:15486 278.90073:575 303.23355:40998 329.22308:592 344.80612:498 355.31647:562 372.34796:506 410.58862:598 421.00998:570 441.91031:553 458.56909:567 476.31622:722 494.32623:3424 624.94830:543 732.65570:856 780.55560:9781 840.57507:851</t>
  </si>
  <si>
    <t>PC O-38:4|PC O-18:0_20:4</t>
  </si>
  <si>
    <t>C46H86NO7P</t>
  </si>
  <si>
    <t>PTKWWHCMNOQBSL-UHFFFAOYSA-N</t>
  </si>
  <si>
    <t>O=C(OC(COCCCCCCCCCCCCCCCCCC)COP(=O)([O-])OCC[N+](C)(C)C)CCCCCCC=CCC=CCC=CCC=CCC</t>
  </si>
  <si>
    <t>840.60974:1160719 841.61441:631522 842.61908:173989</t>
  </si>
  <si>
    <t>53.12180:616 57.01585:507 63.22348:479 66.38357:485 67.88835:563 69.64828:481 75.50359:531 78.95885:814 79.89667:540 79.89815:503 83.26143:597 90.03674:598 96.95999:1203 112.98553:687 113.47974:535 139.39066:493 150.57974:657 152.70358:517 160.10876:577 160.12883:650 160.17636:751 160.17989:616 160.23209:929 160.23730:551 160.24696:526 168.04333:1251 176.02861:595 190.19133:518 215.05026:488 215.68410:522 226.59995:1384 226.60661:33932 239.23309:675 249.81352:532 259.24344:2383 260.24661:1090 261.24973:582 299.55310:524 303.22504:561 303.23343:34265 304.23679:39820 305.23984:11868 305.24945:5361 331.26480:15707 364.46436:546 373.34781:541 387.01483:505 388.91220:567 407.61090:503 448.32092:975 450.47543:628 453.77283:570 466.33170:1877 474.33786:1278 475.33984:1595 492.34695:4695 493.35043:5504 494.35327:4530 553.40302:544 573.27704:528 658.95752:540 659.42542:523 730.48450:560 778.57812:626 779.57892:2093 780.58496:21542 827.70142:612 840.60571:1596</t>
  </si>
  <si>
    <t>PC O-38:4|PC O-20:2_18:2</t>
  </si>
  <si>
    <t>MSLINJBFGVCIAJ-UHFFFAOYSA-N</t>
  </si>
  <si>
    <t>O=C(OC(COCCCCCCCCCCC=CCC=CCCCCC)COP(=O)([O-])OCC[N+](C)(C)C)CCCCCCCC=CCC=CCCCCC</t>
  </si>
  <si>
    <t>840.61005:372697 841.61471:180092 842.61938:40937</t>
  </si>
  <si>
    <t>53.03971:942 54.15279:801 54.72137:776 56.76337:833 59.58921:832 59.60908:987 59.76657:817 61.07915:925 63.31820:866 64.72132:780 65.81076:758 66.78863:851 80.52249:919 89.54115:843 104.69101:906 104.95382:966 108.44609:743 121.86993:850 135.88876:844 163.88919:851 163.89763:1288 163.91580:1263 226.60071:28905 226.60867:25387 228.87015:752 255.40111:821 265.59235:1057 279.23331:18611 281.24927:1644 301.21762:1520 303.23392:1376 304.23645:1005 305.24933:5027 306.25290:1607 307.25580:977 328.15613:893 362.00482:960 380.86920:1007 413.31949:918 500.35352:972 505.64771:896 518.36206:1592 604.96606:931 669.90576:876 715.40820:880 780.59058:5485</t>
  </si>
  <si>
    <t>840.61078:1908505 841.61545:996765 842.62011:279018</t>
  </si>
  <si>
    <t>52.45412:588 53.64604:547 57.07684:537 57.44153:523 60.57454:501 61.38007:535 64.10991:562 71.29210:690 74.04940:587 78.95897:1151 85.56772:512 96.96017:1897 104.53307:641 109.32209:521 109.68380:544 120.35751:531 120.85162:550 134.83386:546 139.59421:501 150.59399:542 160.40770:585 160.46497:621 160.47791:572 160.48248:668 161.49130:600 161.51147:497 168.04337:1264 169.26685:527 175.37762:549 180.91136:504 205.19656:899 212.07553:527 217.56387:523 226.60481:31658 226.61258:3625 259.24362:3577 260.24673:2670 261.25064:1207 262.28992:636 281.30563:568 303.23358:48815 304.23700:54803 305.24020:17794 305.24966:6021 331.26486:13869 345.87000:529 404.26556:1137 432.00406:543 466.33118:1092 474.33679:1177 475.34073:1972 476.34344:1951 486.67160:589 490.46649:565 492.34793:4133 493.35068:9636 494.35382:5485 732.69055:613 760.65527:539 778.57770:961 779.57904:1539 780.58490:31892 840.60675:811</t>
  </si>
  <si>
    <t>840.61151:4148486 841.61618:2074731 842.62085:590632</t>
  </si>
  <si>
    <t>50.72832:2006 54.07609:1712 55.97523:1669 56.03469:2019 56.47471:1684 57.27759:1678 57.56488:1864 59.01368:3648 66.29947:1856 69.02681:1861 74.96549:1798 108.93075:1658 108.94619:1896 115.18171:1715 116.11666:1516 130.30605:1721 139.92587:1870 154.38937:1892 161.68684:2113 161.72212:2837 161.74777:2074 161.78679:2099 168.04314:5051 171.59233:1701 172.42526:1946 181.75746:1765 187.56519:1831 191.10841:1964 196.67336:1729 205.19669:10512 206.72333:1839 226.60104:69567 240.49597:1898 259.24344:67089 267.21075:2007 267.28958:1866 274.23764:1976 279.23343:12563 281.02197:1913 283.98990:1919 284.49051:2076 285.22330:2823 303.23349:1030749 304.23642:3225 307.26450:2178 309.00467:2070 315.42963:1785 337.13693:1728 405.27896:14722 476.35217:49920 494.36295:145502 507.60193:1813 578.53082:1882 617.93909:2072 732.80890:2659 780.59180:214656 781.54156:2322 840.61475:8301</t>
  </si>
  <si>
    <t>840.61230:8001460 841.61697:3997034 842.62164:1143445</t>
  </si>
  <si>
    <t>51.21963:602 52.57199:537 52.64315:475 54.42458:550 59.31754:493 62.31953:681 70.57188:516 81.85597:546 82.60938:549 96.96009:6123 99.66559:564 106.83027:545 114.48613:709 127.10210:558 134.76460:492 148.77187:574 161.29730:904 161.31783:1040 161.33594:522 161.33974:677 161.34715:603 168.04372:652 169.25966:512 186.28430:545 226.60197:13193 226.61009:18070 259.24365:1996 260.24722:1490 261.25015:680 279.23376:1121 303.23361:27553 304.23691:25593 305.24023:9188 305.24994:2117 307.26532:684 315.98596:509 331.26480:6949 378.81833:530 408.04312:524 430.14368:668 466.33252:881 474.33698:764 475.34189:849 476.34338:722 492.34802:1586 493.35040:4044 494.35434:2002 630.96558:602 732.80560:561 779.57947:818 780.58502:15673 840.60889:983</t>
  </si>
  <si>
    <t>PC 37:3|PC 19:1_18:2</t>
  </si>
  <si>
    <t>VNKYYLLEXZGGSC-UHFFFAOYSA-N</t>
  </si>
  <si>
    <t>O=C(OCC(OC(=O)CCCCCCCC=CCC=CCCCCC)COP(=O)([O-])OCC[N+](C)(C)C)CCCCCCCC=CCCCCCCCCC</t>
  </si>
  <si>
    <t>842.58936:884380 843.59402:442439 844.59869:123352</t>
  </si>
  <si>
    <t>52.06587:524 52.74503:525 59.75899:633 59.78566:557 68.14105:563 71.03410:593 75.00857:1437 77.65063:546 85.88263:573 97.71856:508 134.02147:523 156.74283:552 158.95760:498 160.13275:575 160.19093:605 160.21446:784 160.30200:552 168.04317:1126 173.50055:560 224.06932:666 226.60390:26519 226.61180:4935 241.93140:600 259.24316:514 267.23279:610 279.23315:33771 281.24905:1242 293.24854:2567 295.26456:12432 298.52356:542 303.23337:3072 304.23672:2343 305.23984:2014 305.24915:1444 306.24268:762 307.26471:1997 311.18958:520 329.24954:837 379.66238:625 387.18307:485 389.95300:624 429.45245:517 444.18445:519 520.34161:1379 541.26971:535 595.51294:633 703.72198:641 718.16211:552 782.57037:9467 810.83856:601 844.85632:749</t>
  </si>
  <si>
    <t>PC 37:3|PC 17:0_20:3</t>
  </si>
  <si>
    <t>VJODNNQZGFWVNO-UHFFFAOYSA-N</t>
  </si>
  <si>
    <t>O=C(OCC(OC(=O)CCCCCCCCCC=CCC=CCC=CCC)COP(=O)([O-])OCC[N+](C)(C)C)CCCCCCCCCCCCCCCC</t>
  </si>
  <si>
    <t>842.59082:151415 843.59549:80835 844.60016:22109</t>
  </si>
  <si>
    <t>59.01610:883 62.27476:803 73.04236:884 79.13557:919 79.36239:887 122.76403:807 141.16544:778 145.64171:957 151.04724:957 160.29285:1110 161.23923:781 162.01675:746 208.31490:1000 224.06949:1192 226.60147:9150 226.60939:40445 248.40034:844 269.24899:11656 282.60214:888 305.24927:38118 318.98007:793 353.55627:825 359.73480:862 359.99936:903 382.17059:1029 494.32681:2024 588.40106:852 640.08374:991 704.39380:855 732.75055:1625 782.57019:8835 794.96765:895</t>
  </si>
  <si>
    <t>842.59045:1385887 843.59512:718198 844.59979:211705</t>
  </si>
  <si>
    <t>51.07903:868 53.18513:833 56.87926:1007 58.30781:861 59.81908:871 66.73231:953 66.95483:899 68.24105:824 97.59974:973 99.00687:835 105.13489:949 112.98578:898 120.47507:763 129.01408:970 137.54520:907 156.03377:914 161.27007:937 161.30421:1479 161.32120:882 161.37657:970 161.41284:993 163.12244:781 164.77971:942 168.04341:1340 206.40520:963 224.06990:1675 226.60344:36468 226.61145:15345 269.24911:16744 272.25577:885 274.01691:1084 278.67374:841 279.23352:2134 283.26529:1150 291.23361:1358 295.26468:938 305.24927:54975 306.25253:6236 307.25632:3670 310.55167:802 320.98016:886 350.06305:978 382.94565:896 396.18481:900 494.32672:3311 596.30341:910 633.82166:905 777.39209:982 782.56726:10751</t>
  </si>
  <si>
    <t>842.67242:933121 843.67709:504727 844.68176:146250</t>
  </si>
  <si>
    <t>50.41954:606 58.22388:570 58.88937:517 59.01371:22358 60.22596:515 61.09581:513 64.30951:502 64.65496:564 65.53629:568 66.23348:529 71.01369:20062 73.02939:1469 79.86382:503 81.86149:518 83.01385:1441 85.02944:2083 87.00867:1226 89.02430:44736 96.52987:525 99.40392:582 100.93362:1124 101.02437:34506 101.41037:542 108.14855:571 113.02442:13074 119.03500:25244 119.93735:514 129.07520:635 131.03502:3935 143.03506:3945 149.04578:3160 157.04639:606 158.97560:1434 160.03267:584 160.76262:560 161.04575:3800 162.23318:576 178.36508:562 179.05634:9385 222.10976:620 226.59848:3983 226.60635:30199 237.22289:1531 263.23849:1216 335.33362:1068 352.35901:1720 353.34360:3941 378.37494:4561 394.37039:1278 528.10840:597 551.18549:548 586.59515:1657 602.58978:1233 604.60590:2198 616.60529:2077 634.61560:63541 635.61920:942 796.66785:31055 830.74524:595 843.67212:677</t>
  </si>
  <si>
    <t>SM 41:2;O2|SM 17:1;O2/24:1</t>
  </si>
  <si>
    <t>C46H91N2O6P</t>
  </si>
  <si>
    <t>POQOEIGODOXWFL-UHFFFAOYSA-N</t>
  </si>
  <si>
    <t>O=C(NC(COP(=O)([O-])OCC[N+](C)(C)C)C(O)C=CCCCCCCCCCCCC)CCCCCCCCCCCCCC=CCCCCCCCC</t>
  </si>
  <si>
    <t>843.66028:607157 844.66495:311820 845.66961:88742</t>
  </si>
  <si>
    <t>50.14841:502 50.90266:513 58.36118:465 61.98825:1742 65.23196:520 69.57420:490 77.25811:608 78.95892:10453 87.64244:583 91.74406:632 92.04182:522 92.15984:547 92.93454:589 102.22418:541 106.46381:560 112.98574:886 115.01762:509 120.78155:587 122.98538:1094 124.83112:576 125.66788:494 131.41220:517 132.82782:490 140.02318:543 142.80803:484 158.97559:835 159.25987:580 161.61978:578 161.84059:515 162.60222:609 162.66014:615 168.04340:41703 181.38058:518 206.64568:532 207.63075:528 214.98267:542 226.60352:18639 226.61153:11832 281.01675:546 283.67776:572 290.60739:604 351.61514:530 414.17743:541 435.30179:756 469.08813:706 732.93939:756 783.63959:87410 826.01312:540 843.66174:1866</t>
  </si>
  <si>
    <t>PC 37:2|PC 19:0_18:2</t>
  </si>
  <si>
    <t>LOOVXTAPKGYHKO-UHFFFAOYSA-N</t>
  </si>
  <si>
    <t>O=C(OCC(OC(=O)CCCCCCCC=CCC=CCCCCC)COP(=O)([O-])OCC[N+](C)(C)C)CCCCCCCCCCCCCCCCCC</t>
  </si>
  <si>
    <t>844.60663:120594 845.61130:65809 846.61596:15379</t>
  </si>
  <si>
    <t>50.87513:837 54.92497:797 57.62283:850 59.66897:940 62.16016:858 63.01418:901 64.68595:856 66.09069:869 72.05730:781 72.40113:889 73.17956:817 86.96526:813 90.98978:843 95.72527:900 100.51244:856 110.66100:815 121.72153:878 131.41948:823 142.06940:927 152.73219:807 163.28374:839 163.29132:894 163.30031:1054 163.36165:1202 163.38727:774 163.53510:883 180.76006:1027 182.61797:793 186.95068:821 189.95760:875 190.95270:940 192.02521:1006 193.52113:977 226.27429:853 226.60568:48954 226.61346:3216 227.07111:1003 239.30646:840 249.41226:817 259.86020:875 279.23349:34661 279.37219:1039 290.36609:914 293.24896:2299 297.28040:9197 303.23358:4025 310.28351:828 320.35260:868 329.24899:10083 364.12457:1075 446.30353:1141 449.04486:823 451.53336:959 464.31552:920 522.35693:1045 548.26642:854 648.58459:917 665.28473:851 776.56158:2804 784.58722:9731 844.60565:1104</t>
  </si>
  <si>
    <t>844.60516:192534 845.60983:114160 846.61450:31553</t>
  </si>
  <si>
    <t>51.95582:905 72.49074:783 73.66754:804 76.12421:853 78.95908:816 85.63207:867 88.17440:861 97.33093:846 107.29231:950 112.98561:2046 130.09836:798 138.03490:889 138.23488:812 139.02307:825 148.86223:879 150.30260:866 160.40552:1138 160.41190:1293 160.45490:841 160.46375:938 160.48682:892 160.49413:1179 160.50296:969 168.04329:1306 188.44797:782 194.27780:907 197.41032:880 210.47867:949 226.59499:1518 226.60049:25348 226.60854:26894 279.23337:30661 281.24872:10574 283.24387:1644 286.77939:933 293.88620:821 295.26450:8149 297.28033:11550 307.26483:2051 315.05194:905 327.23380:3710 331.26505:2789 372.75616:970 380.73227:937 458.27228:908 461.59097:837 469.00446:1286 513.60925:871 522.35803:2067 557.83582:1101 776.55878:1697 784.58771:12228 784.63049:1659 790.45398:1098 844.60767:1045 844.69464:957</t>
  </si>
  <si>
    <t>HexCer 40:1;O3|HexCer 18:1;O2/22:0;O</t>
  </si>
  <si>
    <t>C46H89NO9</t>
  </si>
  <si>
    <t>KYIWQDXUFOGPKU-UHFFFAOYSA-N</t>
  </si>
  <si>
    <t>O=C(NC(COC1OC(CO)C(O)C(O)C1O)C(O)C=CCCCCCCCCCCCCC)C(O)CCCCCCCCCCCCCCCCCCCC</t>
  </si>
  <si>
    <t>844.64972:175550 845.65439:84172 846.65905:22377</t>
  </si>
  <si>
    <t>56.02063:803 56.88142:818 59.01370:5560 59.58363:871 71.01374:3815 81.46072:987 85.33634:847 89.02435:7570 91.52177:879 95.17323:836 95.39956:835 96.13933:867 97.12650:1081 101.02440:4506 110.56451:892 112.15965:824 113.02456:2205 119.03498:6373 122.11033:949 123.35705:868 124.10935:910 128.80142:918 130.87131:893 130.93373:743 143.20134:1014 145.75513:897 160.83855:985 160.84930:908 160.85396:902 160.92149:983 165.80048:936 168.04410:779 171.78607:789 174.80434:879 179.05656:3226 207.80891:842 226.60196:42774 226.61426:1701 289.36978:893 326.04691:838 340.26562:1081 355.32254:1235 380.35474:965 380.62732:802 415.18231:926 506.58975:883 618.58472:11276 636.59326:4892 641.22076:984 732.67065:1236 739.66882:916 750.18091:843 760.94635:813 772.82465:839 784.64362:3709 798.64746:10764</t>
  </si>
  <si>
    <t>PC 37:1|PC 19:0_18:1</t>
  </si>
  <si>
    <t>C45H88NO8P</t>
  </si>
  <si>
    <t>WMCPHMOQTITNBG-UHFFFAOYSA-N</t>
  </si>
  <si>
    <t>O=C(OCC(OC(=O)CCCCCCCC=CCCCCCCCC)COP(=O)([O-])OCC[N+](C)(C)C)CCCCCCCCCCCCCCCCCC</t>
  </si>
  <si>
    <t>846.62152:159008 847.62619:79602 848.63086:23287</t>
  </si>
  <si>
    <t>50.92902:770 51.73721:828 54.67414:759 60.29842:848 60.55835:975 64.94267:851 73.15263:810 76.23452:848 78.51977:791 78.95888:1052 81.87318:1000 86.10069:884 96.07065:816 96.09666:864 97.09141:953 103.16885:757 103.19550:997 106.17670:899 111.10304:847 129.17613:862 162.95633:1075 162.96283:1107 168.04330:5859 169.04692:1476 170.04788:890 204.58781:845 226.60205:43396 226.60992:10793 281.24918:23308 283.26456:7267 295.26486:19996 297.28088:6906 309.28085:1376 318.36719:810 331.26465:2082 464.31674:879 484.35248:885 522.35992:1327 585.13947:950 603.44086:886 732.74249:932 784.64410:1033 785.64868:1821 786.60278:11852 786.64966:11615</t>
  </si>
  <si>
    <t>PI 35:2|PI 17:0_18:2</t>
  </si>
  <si>
    <t>C44H81O13P</t>
  </si>
  <si>
    <t>AJAKJCJJRMUWFW-UHFFFAOYSA-N</t>
  </si>
  <si>
    <t>O=C(OCC(OC(=O)CCCCCCCC=CCC=CCCCCC)COP(=O)(O)OC1C(O)C(O)C(O)C(O)C1O)CCCCCCCCCCCCCCCC</t>
  </si>
  <si>
    <t>847.53302:110944 848.53769:53933 849.54236:15020</t>
  </si>
  <si>
    <t>52.52062:471 52.75956:552 68.27313:513 70.58858:495 74.20139:457 91.32836:567 96.89394:680 100.93379:922 104.55480:598 110.15148:529 112.98576:1488 115.13754:520 127.92587:493 132.91699:549 134.02423:460 140.18068:520 152.99622:2161 158.49338:578 160.90923:557 162.00798:603 167.62457:444 220.32253:632 221.52530:599 223.00194:1221 226.59879:4987 226.60661:28069 227.24866:517 239.26617:560 241.01222:6938 242.85680:518 259.02277:688 267.17807:513 269.24921:6977 279.23361:7830 288.77692:495 297.03918:662 318.69788:537 370.34766:578 405.24280:3547 411.26944:518 468.96054:700 482.61609:521 493.00476:505 504.30237:503 548.93506:531 551.95752:613 567.29486:2621 585.30676:865 625.91998:671 732.73993:581 750.93353:584 847.53430:3595</t>
  </si>
  <si>
    <t>PC 38:7|PC 16:1_22:6</t>
  </si>
  <si>
    <t>C46H78NO8P</t>
  </si>
  <si>
    <t>DLRNZUPJXRVWRW-UHFFFAOYSA-N</t>
  </si>
  <si>
    <t>O=C(OCC(OC(=O)CCC=CCC=CCC=CCC=CCC=CCC=CCC)COP(=O)([O-])OCC[N+](C)(C)C)CCCCCCCC=CCCCCCC</t>
  </si>
  <si>
    <t>848.54266:70652 849.54733:33522 850.55200:0</t>
  </si>
  <si>
    <t>50.39612:533 51.06355:545 51.11267:497 51.46833:519 55.34444:652 59.28309:519 71.42834:655 94.81446:578 94.82286:534 111.02786:500 112.98555:755 119.57859:551 132.08945:588 142.69644:492 153.88542:551 160.56903:496 160.59901:610 160.60779:614 160.61201:679 160.64058:670 160.64653:640 160.67499:577 160.68195:637 160.73225:507 168.04341:645 168.98958:502 184.98451:5090 189.60648:587 191.13876:559 196.94528:532 206.27383:486 224.06979:575 226.59886:5894 226.60672:28307 253.21748:590 255.22609:534 255.23334:3499 281.22800:2374 297.24393:732 325.21793:2777 327.23413:1848 350.96988:6197 516.95575:2623 788.52417:3695</t>
  </si>
  <si>
    <t>848.54327:144890 849.54794:65566 850.55261:0</t>
  </si>
  <si>
    <t>50.29494:543 52.83834:488 53.68150:505 54.03687:458 55.85012:505 56.43653:496 56.93708:543 61.98820:892 62.70797:494 66.91232:519 68.33022:527 79.43374:564 88.21325:557 92.58224:557 103.14357:512 104.95381:2485 107.62553:452 110.70266:578 112.98568:1086 114.13203:479 115.38750:611 129.62712:502 146.06586:547 146.57684:511 150.34404:547 153.75922:531 163.71471:513 163.93065:511 165.55243:522 168.04366:799 168.73933:526 172.94087:518 178.59885:476 184.98434:5843 202.65965:523 204.73993:505 224.06973:696 226.60457:33423 229.19643:1003 253.21768:12022 279.23376:627 283.24359:7405 301.21725:662 327.23355:18721 350.97018:4977 396.42001:562 442.82840:554 460.28601:723 478.29541:2874 501.89517:541 516.95563:1766 532.70746:575 788.52460:8713 825.80548:579</t>
  </si>
  <si>
    <t>PC 38:7|PC 18:2_20:5</t>
  </si>
  <si>
    <t>HRBNRYBXXRPMKP-UHFFFAOYSA-N</t>
  </si>
  <si>
    <t>O=C(OCC(OC(=O)CCCC=CCC=CCC=CCC=CCC=CCC)COP(=O)([O-])OCC[N+](C)(C)C)CCCCCCCC=CCC=CCCCCC</t>
  </si>
  <si>
    <t>848.54358:108298 849.54825:49591 850.55291:0</t>
  </si>
  <si>
    <t>53.61668:520 54.81297:585 56.43559:529 61.98819:968 62.76379:499 62.89605:521 66.36882:489 67.27624:534 78.94772:484 80.92661:515 94.43696:493 97.29892:473 101.91216:534 102.42901:631 112.98553:1239 133.09731:536 158.97562:884 161.42226:643 161.79790:587 161.82703:813 161.85513:766 161.90204:654 161.90842:573 161.92494:567 166.19760:544 168.04358:615 179.35509:577 184.98451:5353 216.44731:518 219.45985:626 224.06964:622 226.60297:30608 226.61076:3109 257.22842:860 277.21744:4661 279.23328:13955 283.26474:2095 284.26773:633 285.27115:609 295.22845:3527 296.23175:3018 297.23401:1535 301.21771:11616 303.23355:6177 331.39453:516 337.49799:503 349.26028:547 350.97073:3981 383.76910:502 430.46942:544 459.59772:552 472.75043:523 501.99976:537 504.31036:1583 516.95605:1688 585.39105:531 613.73547:671 788.52368:4727 788.57172:2015 849.28418:629</t>
  </si>
  <si>
    <t>PI 35:1|PI 17:0_18:1</t>
  </si>
  <si>
    <t>C44H83O13P</t>
  </si>
  <si>
    <t>NPAUVQALSMSELR-UHFFFAOYSA-N</t>
  </si>
  <si>
    <t>O=C(OCC(OC(=O)CCCCCCCC=CCCCCCCCC)COP(=O)(O)OC1C(O)C(O)C(O)C(O)C1O)CCCCCCCCCCCCCCCC</t>
  </si>
  <si>
    <t>849.54700:52865 850.55166:0 851.55633:0</t>
  </si>
  <si>
    <t>52.84950:787 55.78989:795 56.28963:909 59.72236:872 59.81370:863 61.09767:839 70.51009:919 74.57123:968 77.39361:748 79.57223:802 79.81390:791 81.14805:945 83.17311:886 88.05331:779 95.35403:829 97.40298:826 101.39908:980 104.01795:959 109.50755:802 111.33260:815 116.67257:777 121.23534:779 124.04285:1206 130.15755:801 138.75066:972 142.97986:883 159.56819:774 160.81670:871 160.96169:821 160.98491:982 161.03455:983 161.03879:938 161.04674:1398 161.07086:1690 161.16740:780 161.17854:864 163.21605:784 176.07520:847 207.92128:780 223.00172:1322 226.60011:22920 226.60822:30306 236.77690:933 241.01251:1717 261.08881:779 265.55884:832 269.24918:2114 281.24960:2088 397.87155:998 405.24246:1561 417.34433:1007 602.92200:909 606.21173:1000 849.54944:1193</t>
  </si>
  <si>
    <t>PC 38:6|PC 16:0_22:6</t>
  </si>
  <si>
    <t>C46H80NO8P</t>
  </si>
  <si>
    <t>IESVDEZGAHUQJU-UHFFFAOYSA-N</t>
  </si>
  <si>
    <t>O=C(OCC(OC(=O)CCC=CCC=CCC=CCC=CCC=CCC=CCC)COP(=O)([O-])OCC[N+](C)(C)C)CCCCCCCCCCCCCCC</t>
  </si>
  <si>
    <t>N_Serum_40Xdil_850_950</t>
  </si>
  <si>
    <t>850.56104:5392555 851.56570:3207789 852.57037:1180260</t>
  </si>
  <si>
    <t>51.28879:792 55.23983:732 56.20222:752 59.01373:1671 61.02757:787 61.32438:773 61.98824:880 62.06737:930 65.31322:861 66.47280:804 67.80305:879 68.27683:950 68.85756:809 73.13550:795 78.95889:1895 82.07716:878 84.00053:829 84.10153:894 87.06062:813 87.48936:814 92.24583:897 93.07091:980 101.32529:927 107.08657:1837 117.07080:1259 119.08656:1296 121.10226:2319 121.35446:861 124.90120:786 135.11783:1382 137.13374:888 139.68085:949 149.13365:1951 150.91710:873 152.44310:1119 152.99609:1087 160.27327:892 160.29529:956 160.37813:1313 160.39925:878 163.14938:2578 168.04321:17028 172.73805:962 175.14957:955 177.16519:4109 182.28099:958 184.37018:862 186.60361:997 188.69861:836 189.16562:843 191.18063:3877 192.31078:1035 224.06952:13926 226.60422:46747 226.61209:13721 226.61664:1872 229.19638:17124 243.78336:786 249.18642:3871 255.23320:208276 283.24350:112255 309.22345:999 327.23346:326530 391.22665:3244 462.30038:9777 480.31082:55290 534.29987:3295 552.31116:4423 638.47205:932 785.87292:920 790.53967:101011 791.06744:875 805.81561:1027 850.56055:2854</t>
  </si>
  <si>
    <t>PC 38:6|PC 18:2_20:4</t>
  </si>
  <si>
    <t>RUHBZJXWUDKAMZ-UHFFFAOYSA-N</t>
  </si>
  <si>
    <t>O=C(OCC(OC(=O)CCCCCCC=CCC=CCC=CCC=CCC)COP(=O)([O-])OCC[N+](C)(C)C)CCCCCCCC=CCC=CCCCCC</t>
  </si>
  <si>
    <t>850.56244:383607 851.56711:237551 852.57177:70529</t>
  </si>
  <si>
    <t>50.09843:486 50.91032:554 51.00218:505 51.92515:510 54.01404:501 54.54333:487 55.20748:627 61.98819:610 62.56924:488 64.09759:497 66.34810:578 69.83811:607 73.02359:524 78.95898:670 83.22498:635 86.99702:517 91.46133:565 91.52659:536 92.48660:541 94.92512:682 100.93360:704 103.65022:568 112.98563:1396 116.94929:513 117.59933:582 120.53496:532 124.81479:500 125.22136:491 129.97595:635 153.64076:497 158.97559:1181 160.21037:550 168.04335:3622 179.08191:610 190.87148:572 192.89482:522 205.19656:549 212.11394:507 224.06952:2178 226.60493:31548 226.61279:4700 252.21016:503 259.24332:3781 266.54138:545 279.23325:61996 293.70779:513 303.23337:64786 306.84314:533 323.01028:660 329.24921:1055 486.29999:1824 504.31039:3803 510.15988:540 510.30215:854 528.31030:1994 732.95062:634 790.53967:16606 850.55817:758</t>
  </si>
  <si>
    <t>PC 38:5|PC 16:0_22:5</t>
  </si>
  <si>
    <t>C46H82NO8P</t>
  </si>
  <si>
    <t>ARDJUHDXABDVFH-UHFFFAOYSA-N</t>
  </si>
  <si>
    <t>O=C(OCC(OC(=O)CCCCCC=CCC=CCC=CCC=CCC=CCC)COP(=O)([O-])OCC[N+](C)(C)C)CCCCCCCCCCCCCCC</t>
  </si>
  <si>
    <t>N_Serum_8Xdil_850_950_R2</t>
  </si>
  <si>
    <t>852.57587:5637953 853.58053:3056214 854.58520:2074764</t>
  </si>
  <si>
    <t>53.49990:692 55.88744:570 59.36966:561 61.93343:545 71.52578:498 73.42698:514 79.50233:521 83.59081:499 89.62682:493 92.18874:533 119.93779:504 124.96097:513 134.06709:491 160.92859:542 160.93237:643 160.93660:539 167.63982:536 168.04327:2800 178.93309:599 197.87343:642 203.98871:506 222.21396:546 226.60371:24549 226.61176:10961 231.21248:592 231.24333:562 244.55846:511 255.23323:7977 257.22806:847 278.63657:484 279.23306:1074 280.23688:778 281.24902:1671 283.26456:3880 285.25873:3254 301.21768:6493 303.23340:6783 305.24918:699 308.43481:485 313.42517:562 329.24905:15937 350.73251:614 363.39908:529 435.89346:566 480.31000:2646 484.81827:514 508.34210:885 544.15826:580 682.81396:601 732.16663:665 792.55499:8822 792.61047:2769 839.53473:539</t>
  </si>
  <si>
    <t>852.57623:2793572 853.58090:1502515 854.58557:455412</t>
  </si>
  <si>
    <t>52.20549:811 55.21959:986 55.28896:1055 58.41404:832 59.29020:917 60.14044:888 67.73395:864 70.95664:840 73.22779:828 76.60237:834 78.95889:2560 80.41726:956 84.86128:851 92.53428:894 100.36135:864 103.34657:1204 114.45073:848 116.86957:823 124.06492:866 124.12761:885 132.00452:909 142.75624:914 145.91006:858 156.86484:943 162.00294:933 168.04318:9253 182.75935:862 186.91353:889 224.06949:6063 226.60223:21887 226.61017:36740 255.23317:80727 259.24323:5462 279.23309:1110 281.24890:55696 285.25919:9595 291.62671:909 303.23334:103709 305.24960:2188 329.24905:190760 462.30081:3165 480.31076:17466 488.31537:1604 506.32623:9253 536.31580:1289 554.32520:1769 689.83746:984 691.15033:1004 784.77106:961 792.55530:58582 806.39856:981 852.57617:2525</t>
  </si>
  <si>
    <t>SM 42:4;O2|SM 18:2;O2/24:2</t>
  </si>
  <si>
    <t>C47H89N2O6P</t>
  </si>
  <si>
    <t>JDEBHNQEJCWEPI-UHFFFAOYSA-N</t>
  </si>
  <si>
    <t>O=C(NC(COP(=O)([O-])OCC[N+](C)(C)C)C(O)C=CCCC=CCCCCCCCCC)CCCCCCCCCCCC=CCC=CCCCCCCC</t>
  </si>
  <si>
    <t>N_Serum_8Xdil_850_950</t>
  </si>
  <si>
    <t>853.64441:2549516 854.64908:1355783 855.65374:430954</t>
  </si>
  <si>
    <t>52.77819:690 54.81525:676 54.81740:702 55.75599:637 56.01569:671 78.95886:28306 81.05398:795 81.70555:628 90.12210:704 92.36972:758 92.92776:930 96.95993:2578 101.21252:685 110.21868:648 122.98520:5020 124.73902:752 150.26088:682 156.21545:682 160.53033:774 160.56947:1308 160.57445:1276 168.04324:111835 210.24803:669 219.54073:748 221.38171:817 226.60042:22825 226.60841:22124 228.90652:731 259.24313:1253 283.16644:770 283.26462:8092 303.23337:26142 305.67654:670 306.85837:806 377.67786:812 396.09128:878 404.98376:772 416.29425:838 441.53033:729 447.30096:1788 508.34229:2184 528.30957:809 711.15424:786 722.54938:1215 748.56335:1291 793.62329:146183 794.57074:4495 853.64270:1090</t>
  </si>
  <si>
    <t>PC 38:4|PC 16:0_22:4</t>
  </si>
  <si>
    <t>C46H84NO8P</t>
  </si>
  <si>
    <t>HUAVKOMRGUBYMK-UHFFFAOYSA-N</t>
  </si>
  <si>
    <t>O=C(OCC(OC(=O)CCCCCCCCC=CCC=CCC=CCC=CCC)COP(=O)([O-])OCC[N+](C)(C)C)CCCCCCCCCCCCCCC</t>
  </si>
  <si>
    <t>854.59149:5465224 855.59616:2935772 856.60083:845275</t>
  </si>
  <si>
    <t>52.72243:1001 53.68507:1181 55.47526:1180 56.45300:1163 59.01365:1210 63.00358:1079 98.94756:1297 112.98553:295229 115.00494:1078 150.75569:976 153.62914:1073 159.35393:1031 160.35263:1201 160.36221:1107 160.49751:992 162.41434:915 168.04321:12186 195.49400:985 198.01169:1107 224.06943:8221 226.60431:68592 249.27971:1152 255.23317:109696 259.24335:1583 274.58139:1221 279.23343:5450 281.24887:43233 283.26456:12316 287.27502:5824 289.83817:1198 303.20343:1162 303.23334:31321 305.24899:124259 311.39783:1066 331.26468:295067 344.53638:1219 391.22607:2055 431.82492:1160 444.23572:1188 462.30020:4656 480.31052:19939 506.32617:7314 508.34225:1675 538.33234:2039 556.34180:2123 577.76678:1093 594.60944:1252 726.54388:1932 794.57080:68661 842.85602:1252 854.59094:1920</t>
  </si>
  <si>
    <t>PC 38:4|PC 18:1_20:3</t>
  </si>
  <si>
    <t>JNKAOGSDBBXHEP-UHFFFAOYSA-N</t>
  </si>
  <si>
    <t>O=C(OCC(OC(=O)CCCCCCCCCC=CCC=CCC=CCC)COP(=O)([O-])OCC[N+](C)(C)C)CCCCCCCC=CCCCCCCCC</t>
  </si>
  <si>
    <t>854.59137:3257287 855.59604:1704876 856.60071:517068</t>
  </si>
  <si>
    <t>52.30590:1369 53.14275:1811 53.83836:1478 54.08783:1403 54.32810:1495 55.53289:1360 57.60143:1447 61.98815:1729 64.07677:1589 65.27036:1840 66.04881:1382 71.33691:1574 78.95871:1861 85.69794:1430 90.97048:1327 101.45131:1627 112.29494:1658 112.98563:2545 114.94727:1605 122.37553:1408 127.50709:1679 134.82103:1748 143.58444:1573 153.91304:1479 160.30069:1491 160.76682:1864 160.82681:1612 160.83563:1316 160.90750:1734 165.59192:1349 168.04324:21558 170.27232:1325 191.11789:1470 199.61546:1456 224.06949:15295 226.60130:71098 226.60931:29203 226.61391:3713 229.87695:1607 240.47913:1671 242.08044:2137 254.78371:1618 261.25909:2210 266.81137:1324 277.54114:1380 279.23331:11106 281.24890:293066 305.24902:798892 306.25259:1961 306.66687:1358 307.26450:4681 330.25256:3548 331.26456:3041 417.24149:2325 469.01456:1703 488.31573:9547 506.32629:49364 512.31561:5720 530.32587:6364 576.00787:1468 596.87061:1887 656.84454:1565 794.57080:113134 795.51935:2054 854.59369:3065 858.10114:1552</t>
  </si>
  <si>
    <t>PC 38:4|PC 18:2_20:2</t>
  </si>
  <si>
    <t>ORELBRKCYWQHTL-UHFFFAOYSA-N</t>
  </si>
  <si>
    <t>O=C(OCC(OC(=O)CCCCCCCCCC=CCC=CCCCCC)COP(=O)([O-])OCC[N+](C)(C)C)CCCCCCCC=CCC=CCCCCC</t>
  </si>
  <si>
    <t>854.59180:15953062 855.59646:8449592 856.60113:2517745</t>
  </si>
  <si>
    <t>51.40970:451 53.26599:474 53.32182:543 53.37257:485 56.09549:536 58.92560:544 61.24624:501 61.98819:857 76.83430:512 79.06219:598 79.74509:555 85.38128:534 86.95092:582 90.99266:524 96.96001:2357 100.33292:515 113.51134:523 116.68580:571 120.32829:541 122.66687:547 144.83434:544 145.86356:623 152.68707:607 161.20235:688 161.21846:705 161.22423:637 161.22844:903 161.23616:718 161.26389:574 161.34734:720 164.80502:561 168.04335:1484 172.12149:516 181.56001:614 182.93533:566 200.84747:588 224.06947:1292 226.60229:13441 226.61032:20913 248.49596:624 253.31342:518 255.23306:4459 256.23602:2604 257.83011:534 258.23132:643 273.29828:555 279.23318:38798 281.24884:3613 283.26453:1943 284.26788:1958 285.25928:1362 285.27069:842 286.26245:1427 301.21790:3509 301.22763:644 302.22104:3580 303.22357:993 305.24893:10695 307.26468:15666 312.92068:535 328.07614:558 329.24896:4533 330.25238:6104 331.25604:2334 412.63144:540 455.75632:522 459.03116:598 481.31381:621 504.31061:764 532.34210:1197 534.71387:544 706.11823:703 794.56757:13903</t>
  </si>
  <si>
    <t>854.67285:1994149 855.67752:1094197 856.68219:325853</t>
  </si>
  <si>
    <t>50.35394:961 52.66163:829 59.01366:44700 59.58096:727 61.62055:787 67.33482:843 71.01363:43495 73.02929:2870 81.28560:801 83.01361:2709 85.02928:4820 87.00851:1849 89.02422:86313 95.01372:1853 101.02428:73511 113.02430:33361 113.02645:685 119.03487:50118 119.89435:836 125.02431:908 127.86156:821 131.03490:6240 143.03488:7641 144.40034:909 145.99998:744 149.04555:4714 159.03003:1327 161.04555:10261 164.18318:1394 170.06398:794 176.07645:741 179.05620:23346 226.60214:44922 233.54065:800 237.22276:3846 263.23859:4134 278.30981:777 278.89462:800 283.26447:918 318.51315:790 324.48514:762 337.86597:873 347.33270:2062 364.35889:3661 365.34262:8959 389.37494:840 390.37448:13026 403.03934:885 406.36993:3614 447.04666:852 468.96371:756 552.77551:846 598.59412:4440 614.58929:3686 616.60449:5199 628.60468:3476 646.61505:135225 689.02234:886 808.66699:51495</t>
  </si>
  <si>
    <t>SM 42:3;O2|SM 18:2;O2/24:1</t>
  </si>
  <si>
    <t>C47H91N2O6P</t>
  </si>
  <si>
    <t>QQXLDLHFVPBZNC-UHFFFAOYSA-N</t>
  </si>
  <si>
    <t>O=C(NC(COP(=O)([O-])OCC[N+](C)(C)C)C(O)C=CCCC=CCCCCCCCCC)CCCCCCCCCCCCCC=CCCCCCCCC</t>
  </si>
  <si>
    <t>855.66010:5854024 856.66476:3156641 857.66943:932783</t>
  </si>
  <si>
    <t>52.11858:1800 65.25214:1201 65.53734:1394 76.59689:1438 78.95886:43298 89.26243:1501 101.90292:1349 107.30004:1554 116.10443:1409 122.98518:11421 123.91796:1449 135.31360:1366 160.92151:1725 160.95993:1550 161.02515:1662 161.03394:1270 168.04323:187534 182.01732:1554 220.40808:1448 225.85080:1375 226.60683:96790 248.21428:1525 266.03769:1451 447.30112:2552 724.56293:2012 732.89294:2085 779.04840:1419 795.63873:317077 796.58600:1723 855.65930:5358</t>
  </si>
  <si>
    <t>PC 38:3|PC 18:0_20:3</t>
  </si>
  <si>
    <t>C46H86NO8P</t>
  </si>
  <si>
    <t>LLUINWFQEIMZRU-UHFFFAOYSA-N</t>
  </si>
  <si>
    <t>O=C(OCC(OC(=O)CCCCCCCCCC=CCC=CCC=CCC)COP(=O)([O-])OCC[N+](C)(C)C)CCCCCCCCCCCCCCCCC</t>
  </si>
  <si>
    <t>856.60767:7579654 857.61233:4027230 858.61700:1189373</t>
  </si>
  <si>
    <t>51.11760:938 52.70754:1115 57.36256:925 61.98818:1103 70.66669:1154 78.95885:1590 112.98538:1530 114.23170:954 120.76701:1132 122.76190:867 133.57457:870 141.17845:884 158.31485:875 160.94107:1127 160.94501:1095 161.01471:1282 161.02940:943 161.04503:868 168.04321:7694 173.47943:850 178.82442:891 201.10773:899 207.35060:912 214.27551:949 224.06944:6543 225.74075:857 226.60683:62731 240.26224:993 279.23318:1726 283.26453:119343 296.55045:882 303.23325:1471 305.24899:357257 307.26474:2445 309.28107:1512 333.28064:1394 375.95294:986 427.86069:1063 490.33142:5197 508.34201:26161 512.31573:2591 526.76703:920 530.32587:2244 732.80737:1103 782.10339:995 796.58649:55871 856.60571:2712</t>
  </si>
  <si>
    <t>856.68921:2648067 857.69388:1477354 858.69854:446718</t>
  </si>
  <si>
    <t>53.94241:538 56.02278:554 58.50818:551 59.01368:28162 64.17181:510 71.01366:30788 71.58914:536 73.02932:2501 73.37518:529 74.14614:550 85.02933:2469 87.00875:2732 89.02427:64244 95.01366:976 101.02433:54721 104.94398:594 112.98560:694 113.02438:20651 113.71578:590 119.03494:37992 125.02451:782 131.03496:3698 143.03508:7332 145.03690:535 149.04572:3374 157.58842:538 161.04564:8088 163.12773:462 163.13336:684 163.21304:689 163.23207:710 164.41966:565 179.05629:15381 179.45709:501 183.62111:524 189.71161:545 194.90720:522 226.60429:39295 226.61089:2274 237.22261:2895 242.45100:590 263.23880:2869 292.70428:543 305.24924:1338 348.14426:523 349.34769:993 366.37439:3785 367.35870:7781 385.28476:553 392.39059:10812 408.33588:691 408.38577:2503 491.75821:522 600.60992:2104 614.43475:539 616.60583:2187 618.62018:3752 621.02917:512 630.61975:2464 648.63092:98962 732.75073:631 810.68323:37138 837.30249:603</t>
  </si>
  <si>
    <t>PI 36:4|PI 16:0_20:4</t>
  </si>
  <si>
    <t>C45H79O13P</t>
  </si>
  <si>
    <t>VWRYMIZQLPXULA-UHFFFAOYSA-N</t>
  </si>
  <si>
    <t>O=C(OCC(OC(=O)CCCCCCC=CCC=CCC=CCC=CCC)COP(=O)(O)OC1C(O)C(O)C(O)C(O)C1O)CCCCCCCCCCCCCCC</t>
  </si>
  <si>
    <t>857.52032:327004 858.52499:169275 859.52966:70848</t>
  </si>
  <si>
    <t>50.10529:593 52.83855:481 53.90652:496 53.96925:551 57.08468:491 59.66306:538 62.41845:525 65.73765:530 76.73979:503 78.95888:722 87.57764:556 90.89703:648 99.14588:473 103.90755:477 104.49294:467 105.98948:512 109.02100:504 112.98563:1207 117.92857:502 120.35795:501 139.98544:477 151.17998:604 152.99596:3859 158.97552:846 160.96945:615 160.97342:616 161.02150:743 161.02582:730 201.78754:583 223.00145:3568 225.49063:543 226.60684:36877 231.32890:544 241.01210:11917 255.23317:14335 259.24353:1239 297.03888:2125 303.23340:15010 315.04883:938 328.82797:561 391.22632:6935 432.85172:589 439.22794:654 505.24484:590 512.39075:518 529.77271:493 543.45654:660 553.27917:8199 571.28943:1343 579.03802:515 601.27972:1734 732.85083:759 793.29083:589 857.51849:5267</t>
  </si>
  <si>
    <t>PC 38:2|PC 18:0_20:2</t>
  </si>
  <si>
    <t>C46H88NO8P</t>
  </si>
  <si>
    <t>ZQLPLCXRBVPKGP-UHFFFAOYSA-N</t>
  </si>
  <si>
    <t>O=C(OCC(OC(=O)CCCCCCCCCC=CCC=CCCCCC)COP(=O)([O-])OCC[N+](C)(C)C)CCCCCCCCCCCCCCCCC</t>
  </si>
  <si>
    <t>858.62268:679887 859.62735:360273 860.63202:111880</t>
  </si>
  <si>
    <t>54.61988:532 59.80738:642 69.45181:583 70.77496:597 73.61331:513 74.75294:568 78.68204:481 78.95885:2127 83.50295:539 90.65304:558 90.70831:514 99.89919:599 102.12255:543 106.06087:613 136.44104:541 160.83600:611 160.94630:793 161.04932:573 161.06541:623 161.07196:736 161.07567:586 161.10216:507 164.85774:508 168.04320:8456 169.04648:1382 196.76898:516 214.51849:529 221.51971:532 224.06946:3310 226.60071:4246 226.60858:35572 240.11160:536 254.12730:535 261.85367:604 279.23276:1239 281.24884:1629 283.26450:47892 307.26468:148627 309.28030:1761 335.29657:750 419.25845:929 427.25354:565 465.10294:581 475.77768:539 490.33185:1434 508.34155:8900 514.33075:1263 531.84595:543 558.02191:573 570.45911:549 611.86292:539 695.71082:655 730.12354:547 765.89105:533 767.13989:543 797.64587:897 798.60333:24714 798.64886:5518 858.62207:778</t>
  </si>
  <si>
    <t>858.67017:266002 859.67483:91084 860.67950:19794</t>
  </si>
  <si>
    <t>53.90842:510 57.50083:568 57.98243:619 59.01363:4084 60.46544:569 69.60360:580 70.86762:568 71.01365:6016 71.52843:557 75.11838:569 78.92429:559 78.95885:1132 79.23806:548 81.29327:522 88.17331:569 89.02425:12415 89.36338:490 90.44727:515 98.73772:507 101.02431:7407 102.16801:518 105.21851:524 113.02224:555 113.02422:2543 119.03495:5006 130.22215:585 131.03503:1076 135.83519:522 143.03485:678 146.63515:474 149.04567:870 161.04544:1172 162.83611:567 162.95111:514 168.04329:5086 174.46617:546 179.05635:2310 203.69304:503 226.59485:1042 226.60022:16408 240.00397:586 259.24359:559 280.26538:1412 295.00174:532 303.23291:1145 311.54489:478 323.33386:600 369.33826:1293 377.28885:509 394.36957:1678 471.15555:552 471.17749:551 604.60724:585 632.59973:10124 650.60944:5023 798.65729:8944 812.66235:7427 842.26239:573</t>
  </si>
  <si>
    <t>PI 36:3|PI 18:1_18:2</t>
  </si>
  <si>
    <t>C45H81O13P</t>
  </si>
  <si>
    <t>MXJMOLQIXMJUEL-UHFFFAOYSA-N</t>
  </si>
  <si>
    <t>O=C(OCC(OC(=O)CCCCCCCC=CCC=CCCCCC)COP(=O)(O)OC1C(O)C(O)C(O)C(O)C1O)CCCCCCCC=CCCCCCCCC</t>
  </si>
  <si>
    <t>859.53394:701412 860.53860:354585 861.54327:108274</t>
  </si>
  <si>
    <t>50.16936:614 60.27249:576 61.98822:2042 62.20119:513 63.83757:504 72.66048:548 72.98811:546 73.27174:586 78.33875:536 78.95892:1113 80.88767:593 81.16135:573 81.46583:488 93.00012:586 100.93353:1326 128.43312:515 129.97588:1506 143.25435:529 144.34178:536 147.37318:527 152.99588:4761 158.97549:4841 160.54277:690 160.56592:696 160.57045:668 164.19395:487 183.92781:485 215.92619:575 223.00151:3214 226.59993:15694 241.01204:15914 259.02280:1830 279.23318:17418 279.67508:566 281.24887:18443 297.03867:2327 300.11737:503 315.04929:763 342.06653:538 407.74719:533 415.22751:1058 417.24255:5629 468.92715:586 577.27893:1415 579.29541:7499 597.30530:929 607.14093:570 677.43420:581 688.91321:591 716.26929:539 766.74701:526 845.28448:555 859.53326:5539</t>
  </si>
  <si>
    <t>SM 42:1;O2|SM 18:0;O2/24:1</t>
  </si>
  <si>
    <t>C47H95N2O6P</t>
  </si>
  <si>
    <t>XZBDYCJQWJNNJB-UHFFFAOYSA-N</t>
  </si>
  <si>
    <t>O=C(NC(COP(=O)([O-])OCC[N+](C)(C)C)C(O)CCCCCCCCCCCCCCC)CCCCCCCCCCCCCC=CCCCCCCCC</t>
  </si>
  <si>
    <t>859.69012:1534667 860.69479:836727 861.69946:232489</t>
  </si>
  <si>
    <t>55.40343:688 63.39848:701 64.82748:720 64.91029:662 65.24381:701 68.50086:656 71.15542:743 75.00856:1383 77.20858:733 78.95886:17311 78.96024:1389 79.73277:647 80.35669:783 87.48205:770 97.10013:693 100.36472:650 114.97848:769 122.98516:4910 127.59560:717 136.29044:674 138.84613:760 143.56949:971 163.77525:977 163.78088:976 163.86261:1010 163.86726:1021 168.04321:80947 169.04660:1063 201.06046:748 224.05530:737 226.59467:2194 226.59808:2511 226.60434:52150 329.63614:753 377.79776:795 410.44928:751 451.33237:1062 516.01294:775 688.68341:909 728.59674:1528 739.38361:793 798.65601:1100 799.66956:124137 859.69067:2142</t>
  </si>
  <si>
    <t>SM 42:1;O2|SM 18:1;O2/24:0</t>
  </si>
  <si>
    <t>QEDPUVGSSDPBMD-UHFFFAOYSA-N</t>
  </si>
  <si>
    <t>O=C(NC(COP(=O)([O-])OCC[N+](C)(C)C)C(O)C=CCCCCCCCCCCCCC)CCCCCCCCCCCCCCCCCCCCCCC</t>
  </si>
  <si>
    <t>859.69159:4933394 860.69626:2693342 861.70092:790594</t>
  </si>
  <si>
    <t>50.61327:568 53.95357:644 57.16285:619 61.60057:613 61.98810:744 74.94174:653 78.95888:20237 78.96027:1192 85.69018:612 100.82067:662 104.92900:558 110.42471:688 112.98564:696 119.06475:533 119.71301:568 122.98525:5264 132.55742:561 139.09496:623 148.17950:650 152.88672:538 158.97543:613 162.15689:571 162.20998:599 162.23825:688 162.27824:558 168.04327:92719 185.75038:609 198.68129:618 226.60684:42940 226.61340:1691 239.33098:596 313.28052:627 328.38791:576 329.48865:620 396.44098:611 449.31613:1431 480.50290:603 489.97934:646 728.59790:777 799.67017:161281 800.61768:1310 800.67151:774 859.69263:3176</t>
  </si>
  <si>
    <t>PC 38:1|PC 18:0_20:1</t>
  </si>
  <si>
    <t>C46H90NO8P</t>
  </si>
  <si>
    <t>PDGHHNMEFVJAAM-UHFFFAOYSA-N</t>
  </si>
  <si>
    <t>O=C(OCC(OC(=O)CCCCCCCCCC=CCCCCCCCC)COP(=O)([O-])OCC[N+](C)(C)C)CCCCCCCCCCCCCCCCC</t>
  </si>
  <si>
    <t>860.63702:529521 861.64169:264737 862.64636:77468</t>
  </si>
  <si>
    <t>51.36300:631 55.56182:536 57.92062:547 61.98826:662 65.69665:567 66.26691:547 71.51625:594 74.77397:498 76.64606:524 78.95889:8934 79.26672:519 80.36425:524 80.92546:537 80.96318:1015 94.66338:660 94.95938:607 100.82690:688 104.52982:554 105.34337:640 108.28694:610 122.98521:1826 123.13233:606 144.27986:567 160.51427:615 160.90543:755 160.95560:580 160.98534:608 161.00197:639 161.02869:1019 161.06276:682 161.12143:669 161.12961:605 168.04329:31208 169.04662:6773 170.04736:5259 187.27751:550 197.94554:556 210.53004:497 224.06952:1458 225.74365:628 226.38661:579 226.60332:25028 226.61133:14217 226.61626:1334 233.83321:595 248.19252:574 255.22542:676 255.23293:2818 264.72369:639 268.84491:515 273.03308:570 281.24896:10450 283.26465:29000 284.26761:578 291.74796:659 309.28036:97215 311.29602:3678 337.31152:3881 364.52448:554 431.44250:524 450.31805:651 490.33084:1312 508.34192:5073 534.35791:789 545.15833:558 567.48132:558 798.65778:4573 799.66132:5295 800.61774:17091 800.66412:55402 860.68671:1317</t>
  </si>
  <si>
    <t>PE O-46:6|PE O-26:2_20:4</t>
  </si>
  <si>
    <t>C51H92NO7P</t>
  </si>
  <si>
    <t>VIXSCPQNNMQHFA-UHFFFAOYSA-N</t>
  </si>
  <si>
    <t>O=C(OC(COCCCCCCCCCCCCCCC=CCC=CCCCCCCC)COP(=O)(O)OCCN)CCCCCCC=CCC=CCC=CCC=CCC</t>
  </si>
  <si>
    <t>860.64978:146387 861.65445:74263 862.65912:31480</t>
  </si>
  <si>
    <t>52.25636:958 61.98817:16353 61.98909:1296 62.97714:932 76.38554:816 77.24477:857 77.54126:839 78.17552:771 78.95874:880 96.31493:820 103.04153:915 112.98560:2176 117.25214:866 131.33511:818 142.10416:802 144.03671:964 145.50235:1003 145.71283:810 158.02274:909 160.76677:973 162.99586:1144 163.04384:1011 163.97459:910 165.15944:877 168.04338:1744 170.56087:926 178.54219:892 197.48918:991 210.64522:924 220.81763:889 226.60229:53307 226.61024:8894 259.24323:1710 276.84109:931 303.23331:26076 306.05112:986 317.18317:861 344.53622:910 344.55063:846 349.81711:796 473.90585:814 475.20941:835 556.41510:1753 574.42389:1692 613.34912:949 769.82434:971 783.63678:1398</t>
  </si>
  <si>
    <t>PC O-40:7|PC O-18:1_22:6</t>
  </si>
  <si>
    <t>C48H84NO7P</t>
  </si>
  <si>
    <t>MWJZGUPJPKCTCF-UHFFFAOYSA-N</t>
  </si>
  <si>
    <t>O=C(OC(COCCCCCCCCC=CCCCCCCCC)COP(=O)([O-])OCC[N+](C)(C)C)CCC=CCC=CCC=CCC=CCC=CCC=CCC</t>
  </si>
  <si>
    <t>862.59515:254656 863.59982:144980 864.60449:58395</t>
  </si>
  <si>
    <t>64.07314:817 65.33025:869 65.75385:887 68.11710:899 74.16511:736 78.65752:855 78.88424:885 80.49926:959 84.30286:735 86.27869:835 89.81203:787 96.38552:869 102.95674:40993 104.20969:793 111.84195:843 112.63409:1009 118.10648:803 129.01357:823 135.80429:978 162.49570:1304 162.51897:1102 162.54010:1000 162.71289:1009 168.04306:1361 177.16554:1084 226.59801:4833 226.60573:54801 229.19661:1253 229.34773:871 239.26964:1116 255.23289:1099 281.24911:1465 283.24347:10576 326.57257:936 327.23340:40065 367.96658:951 382.51794:872 415.75342:836 426.35117:872 472.62781:920 474.33691:2538 492.34711:11060 690.35565:1160 732.76001:1277 740.64819:1057 802.57593:18827 862.51685:1168</t>
  </si>
  <si>
    <t>862.59607:543503 863.60074:300699 864.60540:87876</t>
  </si>
  <si>
    <t>52.26979:879 57.92024:762 57.99648:794 58.36721:886 59.24441:795 60.21399:820 60.62242:749 61.64060:955 66.97503:813 68.02527:768 68.31031:851 68.70431:794 70.79831:916 71.18246:867 73.67526:852 80.00933:808 84.67829:842 93.25412:823 101.69074:884 102.95671:4760 104.95374:10009 105.21677:890 106.02974:903 137.77992:826 138.96346:1047 140.33286:861 143.24522:763 144.98714:970 160.69498:867 160.74550:1042 161.33267:831 183.22737:890 184.21152:908 218.48303:953 226.60434:58576 229.19644:1719 257.51273:988 279.23355:1165 282.05301:946 283.24332:15951 283.25266:972 293.28046:829 316.57516:989 327.23340:42244 335.49106:944 434.65231:1170 474.33716:3362 492.34695:11797 732.94647:993 802.57581:19187 802.62079:1430 839.80383:1041</t>
  </si>
  <si>
    <t>PE O-46:5|PE O-26:1_20:4</t>
  </si>
  <si>
    <t>C51H94NO7P</t>
  </si>
  <si>
    <t>LMLJKWXWJYERQS-UHFFFAOYSA-N</t>
  </si>
  <si>
    <t>O=C(OC(COCCCCCCCCCCCCCCC=CCCCCCCCCCC)COP(=O)(O)OCCN)CCCCCCC=CCC=CCC=CCC=CCC</t>
  </si>
  <si>
    <t>862.66522:278861 863.66989:145713 864.67456:42189</t>
  </si>
  <si>
    <t>51.28553:814 51.35886:904 61.10518:998 61.98819:7517 62.43217:962 62.58370:813 68.28814:828 71.16537:917 74.32752:799 74.82153:833 76.75964:936 78.91879:1520 79.20798:935 81.77108:833 85.72935:861 87.05544:842 89.57414:872 93.16906:896 94.66439:928 95.82346:879 111.65822:820 112.68768:837 127.15545:863 162.69360:986 162.73326:886 162.74489:1091 166.11058:830 168.04320:2186 183.93222:785 205.19632:1104 226.00017:856 226.59755:2046 226.60432:61786 258.27097:939 259.24338:3438 303.23337:41720 447.50687:896 493.16922:893 514.42084:933 558.43140:2073 576.44031:5210 695.06390:914 756.09674:998 802.68005:4243 812.67548:1624 862.66870:2925</t>
  </si>
  <si>
    <t>PI 36:1|PI 18:0_18:1</t>
  </si>
  <si>
    <t>C45H85O13P</t>
  </si>
  <si>
    <t>YOBFISPJJWPPTK-UHFFFAOYSA-N</t>
  </si>
  <si>
    <t>O=C(OCC(OC(=O)CCCCCCCC=CCCCCCCCC)COP(=O)(O)OC1C(O)C(O)C(O)C(O)C1O)CCCCCCCCCCCCCCCCC</t>
  </si>
  <si>
    <t>863.56500:2531561 864.56967:1252445 865.57434:383494</t>
  </si>
  <si>
    <t>50.96087:583 52.43980:716 59.19829:582 61.11739:614 69.17843:557 70.31750:547 72.84241:519 78.01463:689 78.95885:5695 92.41651:595 93.36045:564 96.96957:1199 119.46575:716 119.94691:1213 123.28021:606 128.73857:593 130.02690:579 137.06725:562 138.88446:577 144.31032:726 152.99583:15609 154.51204:547 162.49200:532 162.60950:702 162.61356:700 163.45226:619 192.96356:568 204.01523:611 223.00136:12699 226.59875:7222 226.60658:33159 241.01201:60651 243.41756:572 246.29822:563 247.25803:603 259.02252:5635 269.17313:639 281.24887:66922 283.26453:64361 297.03848:8506 315.04913:2656 322.71503:618 329.24890:1090 330.25137:705 386.61862:640 398.57858:606 414.17700:668 417.24252:4359 419.25772:35006 437.26892:2973 531.17847:895 564.98022:585 579.29492:6363 581.31061:33183 597.30768:994 599.32080:5659 606.05072:667 619.78491:632 660.04474:710 732.81641:767 740.32599:629 803.57916:709 863.56519:35476</t>
  </si>
  <si>
    <t>PC 39:6|PC 17:0_22:6</t>
  </si>
  <si>
    <t>C47H82NO8P</t>
  </si>
  <si>
    <t>KSRURLYJRNYEOH-UHFFFAOYSA-N</t>
  </si>
  <si>
    <t>O=C(OCC(OC(=O)CCC=CCC=CCC=CCC=CCC=CCC=CCC)COP(=O)([O-])OCC[N+](C)(C)C)CCCCCCCCCCCCCCCC</t>
  </si>
  <si>
    <t>N_Serum_8Xdil_850_950_R3</t>
  </si>
  <si>
    <t>864.57629:249467 865.58096:127693 866.58563:37903</t>
  </si>
  <si>
    <t>53.66397:744 57.05656:857 57.99416:821 63.08390:832 64.12039:887 66.08945:885 66.59367:804 70.39363:961 76.08399:797 76.16467:831 90.54535:858 104.95390:2075 132.49220:867 160.90036:1298 161.00314:943 226.60342:62086 229.19656:1439 257.15555:924 269.24905:9771 283.24301:5309 288.98862:867 327.23337:22373 327.24454:1502 345.17712:807 376.52069:1028 385.41867:947 420.26318:1045 433.05984:830 476.31650:963 490.64505:927 494.32693:3412 572.65240:906 644.67017:838 732.73474:1011 754.83179:1033 779.51666:952 804.55634:7061 864.56641:1215</t>
  </si>
  <si>
    <t>864.57623:149312 865.58090:88553 866.58557:22840</t>
  </si>
  <si>
    <t>52.45777:845 55.57969:871 61.42629:863 67.80195:887 69.70325:1014 72.69122:941 73.03213:874 75.78616:840 77.85596:774 81.44527:875 88.99328:882 95.92608:791 146.05934:949 152.09616:932 160.80927:902 160.82115:1314 160.84680:1239 160.85078:1034 180.62309:979 188.94067:1000 202.57059:847 215.00652:1023 226.60135:40536 226.60934:17029 227.53761:816 229.19708:1022 269.24890:11118 273.88806:884 280.23694:945 281.23947:824 283.24338:7269 283.26462:1178 317.12711:1061 323.50357:924 327.23346:18354 341.11234:952 343.44348:932 347.00546:926 386.32840:1070 494.32709:1792 722.53778:1072 732.75531:1395 804.55536:8246 864.56183:1448</t>
  </si>
  <si>
    <t>PC O-40:6|PC O-18:0_22:6</t>
  </si>
  <si>
    <t>C48H86NO7P</t>
  </si>
  <si>
    <t>QBZALASVZLFAHF-UHFFFAOYSA-N</t>
  </si>
  <si>
    <t>O=C(OC(COCCCCCCCCCCCCCCCCCC)COP(=O)([O-])OCC[N+](C)(C)C)CCC=CCC=CCC=CCC=CCC=CCC=CCC</t>
  </si>
  <si>
    <t>864.61230:106810 865.61697:58440 866.62164:48136</t>
  </si>
  <si>
    <t>50.30264:470 51.43357:518 52.04655:467 52.21673:621 52.51624:486 52.58677:510 55.98032:470 57.16127:524 59.57431:502 72.06474:492 72.24020:483 72.33710:497 72.69823:517 72.86089:481 77.09635:557 81.23109:548 86.82974:513 88.18768:576 96.96004:1866 100.63885:479 104.95375:641 113.71096:516 125.13049:483 146.99989:534 160.23438:590 160.29123:669 160.37202:551 161.25624:463 164.12349:508 186.77968:503 192.57875:537 207.17386:584 210.24240:561 222.18709:562 226.60451:28761 226.61246:5978 234.92751:596 283.24353:3195 289.93298:567 327.23340:14972 468.99576:537 476.35318:1221 494.36346:3072 725.00824:616 804.59119:8000</t>
  </si>
  <si>
    <t>PC O-40:6|PC O-18:1_22:5</t>
  </si>
  <si>
    <t>ZCAILPAGIIBRNC-UHFFFAOYSA-N</t>
  </si>
  <si>
    <t>O=C(OC(COCCCCCCCCC=CCCCCCCCC)COP(=O)([O-])OCC[N+](C)(C)C)CCCCCC=CCC=CCC=CCC=CCC=CCC</t>
  </si>
  <si>
    <t>864.61206:462248 865.61673:232896 866.62140:54233</t>
  </si>
  <si>
    <t>50.22551:825 50.96143:837 51.41000:779 52.49527:977 52.54538:827 56.48627:843 57.01589:940 62.79408:790 65.74498:915 67.72153:796 68.79500:827 69.38595:950 73.17439:827 73.97144:1174 80.24508:1059 88.81419:1007 96.95999:11241 96.96958:1601 115.76341:857 130.46434:1057 136.57436:950 136.78844:836 145.41541:1033 155.61578:891 155.90802:957 159.82835:876 161.07706:935 161.13963:902 161.14600:1491 161.15839:1318 178.62070:768 187.96376:900 192.02309:816 197.76472:959 226.60677:66214 265.44446:948 267.93973:928 285.25937:3965 303.23328:5300 318.25137:969 329.24908:64449 409.96646:942 411.62418:900 436.31537:1109 474.33740:3152 492.34726:6294 536.38147:966 613.01648:959 651.19916:939 729.09741:999 804.59167:23561 841.45300:987 864.61145:1105</t>
  </si>
  <si>
    <t>PC 39:5|PC 17:0_22:5</t>
  </si>
  <si>
    <t>ZVSXKJXCODHGBN-UHFFFAOYSA-N</t>
  </si>
  <si>
    <t>O=C(OCC(OC(=O)CCCCCC=CCC=CCC=CCC=CCC=CCC)COP(=O)([O-])OCC[N+](C)(C)C)CCCCCCCCCCCCCCCC</t>
  </si>
  <si>
    <t>866.59009:91476 867.59476:52796 868.59942:17580</t>
  </si>
  <si>
    <t>52.19085:901 53.69062:837 57.54465:936 69.19655:988 75.87561:843 77.15957:1182 85.43236:769 95.79194:810 97.78674:763 98.27060:786 104.17601:804 125.37156:904 131.78662:929 161.02417:856 161.03323:981 161.05159:968 161.11751:1553 161.12440:1045 161.14311:1056 161.17007:1004 167.35370:883 168.95972:873 185.19070:945 199.96074:809 206.62462:914 216.82045:897 226.60020:3233 226.60678:57106 259.17508:893 266.28949:928 269.24908:4399 274.04587:831 285.25958:1378 300.85196:987 316.75183:848 329.24899:16276 387.22446:965 404.28183:879 416.83823:1020 451.81705:1180 494.32608:1161 522.51306:916 570.60620:958 670.40491:925 806.57141:4759</t>
  </si>
  <si>
    <t>PC O-40:5|PC O-18:0_22:5</t>
  </si>
  <si>
    <t>C48H88NO7P</t>
  </si>
  <si>
    <t>HJDYJUQFSIJNGA-UHFFFAOYSA-N</t>
  </si>
  <si>
    <t>O=C(OC(COCCCCCCCCCCCCCCCCCC)COP(=O)([O-])OCC[N+](C)(C)C)CCCCCC=CCC=CCC=CCC=CCC=CCC</t>
  </si>
  <si>
    <t>866.62714:880787 867.63180:470468 868.63647:127024</t>
  </si>
  <si>
    <t>53.72857:516 54.63915:477 61.98820:645 63.40019:560 65.81327:441 66.85583:471 68.86401:520 77.72565:574 78.52282:492 79.41940:482 80.15653:548 86.12193:534 96.95993:1670 97.96849:497 105.05318:543 105.73203:591 112.98578:546 113.91106:550 114.24423:563 119.94703:921 148.61142:520 160.57062:602 160.70610:652 160.71661:614 160.72235:483 169.53055:555 186.96986:511 212.28688:494 223.64835:556 226.60046:17437 226.60844:16143 226.81293:505 259.24362:1781 275.05463:552 279.23300:4793 285.25909:1791 303.23337:26519 329.24902:31403 357.28052:2749 414.78433:631 476.35217:1306 494.36224:3773 502.36676:1105 520.37878:3655 660.00391:826 671.85931:561 732.67371:653 806.60675:19336 866.62720:1675</t>
  </si>
  <si>
    <t>PC O-40:5|PC O-20:1_20:4</t>
  </si>
  <si>
    <t>QZEYUKQNWUMXFF-UHFFFAOYSA-N</t>
  </si>
  <si>
    <t>O=C(OC(COCCCCCCCCCCC=CCCCCCCCC)COP(=O)([O-])OCC[N+](C)(C)C)CCCCCCC=CCC=CCC=CCC=CCC</t>
  </si>
  <si>
    <t>866.62866:121352 867.63333:63362 868.63800:45426</t>
  </si>
  <si>
    <t>61.30498:776 64.24035:840 79.40691:829 82.38555:889 83.13440:812 96.47569:901 97.67113:873 106.50864:823 108.56945:906 109.41084:837 112.98290:854 112.98560:1037 119.02943:874 125.51447:935 127.79046:887 130.91190:1065 161.92000:921 162.67773:918 163.89589:807 163.93314:999 164.10764:1014 168.04353:1172 196.30630:829 196.80502:790 224.54639:960 226.59969:21830 226.60765:36535 238.17387:1001 303.23325:33131 309.25870:915 320.07056:1048 395.22345:880 486.76691:946 502.36664:2089 520.37793:5475 586.10663:948 647.43292:853 690.30341:861 701.63715:904 781.80591:905 806.60706:8078</t>
  </si>
  <si>
    <t>PC 39:4|PC 19:0_20:4</t>
  </si>
  <si>
    <t>QUWIPEXOTVGONJ-UHFFFAOYSA-N</t>
  </si>
  <si>
    <t>O=C(OCC(OC(=O)CCCCCCC=CCC=CCC=CCC=CCC)COP(=O)([O-])OCC[N+](C)(C)C)CCCCCCCCCCCCCCCCCC</t>
  </si>
  <si>
    <t>868.60486:274197 869.60953:147202 870.61419:45934</t>
  </si>
  <si>
    <t>51.95989:501 54.54538:570 64.68286:487 73.84978:543 80.00832:535 81.63309:580 102.95684:777 118.71170:533 120.76134:489 128.35742:720 148.25148:487 160.46944:559 160.60390:696 160.69273:1026 160.69681:691 160.74406:893 160.80403:671 168.04321:1989 191.94846:537 203.47792:648 205.19620:802 224.06972:1301 226.60432:36849 259.24326:3391 273.25769:529 278.01144:598 279.23334:3717 283.26489:2316 297.28024:21556 303.23328:58805 304.23657:5814 305.23962:1741 308.04303:524 317.24954:1624 328.03989:575 375.64066:533 381.62122:637 491.98340:639 504.34854:716 521.38031:1031 522.35736:4912 536.70282:490 732.80200:572 742.53967:921 800.49701:1368 808.58154:12719 813.15411:561 868.60468:818</t>
  </si>
  <si>
    <t>PC O-40:4|PC O-20:0_20:4</t>
  </si>
  <si>
    <t>C48H90NO7P</t>
  </si>
  <si>
    <t>OLIVPBCNAWZCSA-UHFFFAOYSA-N</t>
  </si>
  <si>
    <t>O=C(OC(COCCCCCCCCCCCCCCCCCCCC)COP(=O)([O-])OCC[N+](C)(C)C)CCCCCCC=CCC=CCC=CCC=CCC</t>
  </si>
  <si>
    <t>868.64514:117350 869.64981:58226 870.65448:16167</t>
  </si>
  <si>
    <t>51.59182:780 53.63397:884 61.98819:1139 69.14106:830 86.03943:846 92.15131:867 94.92503:1140 100.44612:1030 113.67900:874 118.71729:841 120.47608:857 125.28486:851 125.33495:849 130.57159:843 145.06175:897 148.14740:814 148.15170:951 155.67578:1000 160.10080:1594 160.17099:1059 160.17679:1006 160.18144:989 160.18716:1115 160.19643:850 160.20085:1041 161.95599:774 166.87154:881 172.16035:831 176.62531:830 177.95708:782 189.40930:773 191.06035:891 192.45424:771 195.20784:841 201.48100:847 218.89258:844 226.60683:60484 257.03720:981 259.24362:1172 259.52518:885 279.23300:1754 303.23322:34599 335.88431:852 347.77063:872 468.51962:949 518.82697:969 522.39337:5044 555.99475:896 768.44641:896 808.62299:11309 836.68268:1060 848.07361:905</t>
  </si>
  <si>
    <t>PC O-40:4|PC O-18:0_22:4</t>
  </si>
  <si>
    <t>CVUOILXZRKGCTJ-UHFFFAOYSA-N</t>
  </si>
  <si>
    <t>O=C(OC(COCCCCCCCCCCCCCCCCCC)COP(=O)([O-])OCC[N+](C)(C)C)CCCCCCCCC=CCC=CCC=CCC=CCC</t>
  </si>
  <si>
    <t>868.64374:334293 869.64841:209512 870.65307:70123</t>
  </si>
  <si>
    <t>51.80194:917 53.23434:1014 54.28842:785 56.96844:798 59.62190:893 60.70530:946 61.72902:817 62.58787:791 62.71438:751 64.87646:798 66.43266:814 69.07347:778 69.68795:848 72.61802:812 82.83414:801 90.93448:904 97.80732:1027 112.98559:34566 115.53626:794 117.09984:779 130.82803:863 135.76456:947 147.02713:815 157.03545:875 160.70872:930 160.78268:917 160.82133:915 160.87743:889 212.35576:789 213.85577:1021 226.60127:53147 226.60916:10131 303.23297:2056 304.23621:1673 331.26474:54548 476.35144:1803 477.29819:1010 494.36288:7308 584.01239:894 657.15271:1118 658.74762:954 808.62299:14029 809.65424:977 836.97296:1067</t>
  </si>
  <si>
    <t>PC O-40:4|PC O-22:2_18:2</t>
  </si>
  <si>
    <t>ZIOGOZULZWGPGV-UHFFFAOYSA-N</t>
  </si>
  <si>
    <t>O=C(OC(COCCCCCCCCCCCCC=CCC=CCCCCC)COP(=O)([O-])OCC[N+](C)(C)C)CCCCCCCC=CCC=CCCCCC</t>
  </si>
  <si>
    <t>868.64392:128190 869.64859:69037 870.65326:13191</t>
  </si>
  <si>
    <t>53.21352:775 56.45010:778 58.51303:757 61.26680:913 74.00699:860 78.88786:819 88.82413:925 91.43414:851 96.96005:2476 99.03575:841 102.95681:985 111.71188:859 112.98561:1083 113.20639:944 114.13165:920 154.41440:929 161.15245:1198 161.21373:917 173.71738:1001 193.68359:994 222.52769:864 226.60196:18881 248.74205:830 278.93546:795 279.23331:38065 281.24869:1529 285.01541:856 301.42267:882 315.73898:875 323.51196:873 333.28009:845 336.10413:856 356.53717:896 368.92560:850 480.74008:924 528.28027:972 528.38422:1267 546.39404:3324 583.09607:983 620.20697:1070 757.85547:1003 795.60162:893 808.62299:8020 818.85516:992 870.50623:1159</t>
  </si>
  <si>
    <t>PC O-40:3|PC O-22:1_18:2</t>
  </si>
  <si>
    <t>C48H92NO7P</t>
  </si>
  <si>
    <t>BUVNJYQOAYERGY-UHFFFAOYSA-N</t>
  </si>
  <si>
    <t>O=C(OC(COCCCCCCCCCCCCC=CCCCCCCCC)COP(=O)([O-])OCC[N+](C)(C)C)CCCCCCCC=CCC=CCCCCC</t>
  </si>
  <si>
    <t>870.65802:185506 871.66269:102950 872.66736:0</t>
  </si>
  <si>
    <t>50.49324:649 51.82292:550 55.04219:594 56.52488:505 64.01669:545 64.61410:554 65.43297:582 77.46389:521 78.53063:544 78.95894:787 87.16454:464 89.66885:427 96.95989:1436 97.18224:516 99.00866:636 99.13535:552 101.18749:466 112.98559:3316 116.48994:525 117.46510:530 119.95964:514 125.54475:497 126.76641:479 128.89748:649 132.41154:512 138.24954:489 138.85243:549 139.50742:511 142.26181:499 159.54112:569 163.10127:603 164.17216:608 164.22006:627 164.25307:632 168.04340:1850 168.14624:541 173.87923:528 194.18472:565 220.15414:543 226.60190:29479 226.61420:1047 247.49625:530 255.23286:858 279.23325:52931 281.24887:3892 303.23389:1112 304.23657:899 335.29541:822 349.73709:623 403.84381:512 466.89517:618 494.22864:538 530.39850:2659 541.44061:710 548.40979:4758 564.05371:548 592.18701:593 732.78723:708 732.82812:581 800.72742:620 810.63611:12829 870.65918:935 871.62335:583</t>
  </si>
  <si>
    <t>870.66431:358904 871.66897:193013 872.67364:52810</t>
  </si>
  <si>
    <t>51.82568:976 56.31644:806 56.55450:809 58.22158:844 59.01369:8821 61.30859:850 70.97846:869 71.01366:4932 89.02425:12271 101.02431:7360 103.80251:851 112.98558:1282 113.02434:5707 115.63747:906 119.03493:8000 126.05418:839 131.03481:1147 138.30380:821 143.03506:883 150.05325:832 160.72531:1363 160.76280:835 160.81183:836 179.05630:3919 193.63782:863 215.32590:835 221.96117:870 226.60434:63630 251.05217:912 271.96588:923 277.21808:1147 278.80658:850 279.23392:1191 280.26483:989 305.24899:14282 355.87384:854 358.69745:859 381.68088:937 397.45447:890 406.37000:2653 421.10278:884 470.40997:952 505.84470:912 522.39435:1078 547.37036:1403 550.57458:864 555.83002:896 577.14429:1056 619.95636:828 644.59943:15574 662.61005:5116 675.20270:1175 732.70740:936 743.92987:942 745.71924:922 764.27350:990 786.48297:1094 810.63885:3426 824.66138:16094</t>
  </si>
  <si>
    <t>SM 43:2;O2|SM 19:1;O2/24:1</t>
  </si>
  <si>
    <t>C48H95N2O6P</t>
  </si>
  <si>
    <t>BJXQFQDUJVIUAH-UHFFFAOYSA-N</t>
  </si>
  <si>
    <t>O=C(NC(COP(=O)([O-])OCC[N+](C)(C)C)C(O)C=CCCCCCCCCCCCCCC)CCCCCCCCCCCCCC=CCCCCCCCC</t>
  </si>
  <si>
    <t>871.69031:1874461 872.69498:1032502 873.69964:313184</t>
  </si>
  <si>
    <t>56.56523:818 57.72059:890 61.98816:49515 65.96523:1008 73.46112:888 78.95882:17945 78.96023:1449 83.64538:936 86.67474:924 87.62918:905 87.73208:990 88.28403:848 92.09421:831 96.49812:877 99.58203:847 101.77781:858 102.07085:950 102.69266:830 107.73708:805 112.60238:1012 112.98544:2662 114.79814:952 114.93678:814 118.31358:887 122.98511:4115 126.44381:862 139.03104:937 141.30695:933 142.03903:865 151.96565:878 160.53094:1132 160.65953:867 161.54819:904 161.68796:951 162.72571:887 163.45146:888 167.35753:951 168.04321:83940 177.50552:925 181.24727:904 196.96834:871 197.11951:932 226.60178:51434 226.61412:1821 240.35802:967 262.34518:868 352.26056:968 355.03696:947 363.44507:863 389.93399:889 463.33185:1348 637.44159:1028 732.80579:1595 811.66980:197722 871.69171:5589 871.73865:1061</t>
  </si>
  <si>
    <t>HexCer 42:1;O3|HexCer 18:1;O2/24:0;O</t>
  </si>
  <si>
    <t>C48H93NO9</t>
  </si>
  <si>
    <t>ZXWQZGROTQMXME-UHFFFAOYSA-N</t>
  </si>
  <si>
    <t>O=C(NC(COC1OC(CO)C(O)C(O)C1O)C(O)C=CCCCCCCCCCCCCC)C(O)CCCCCCCCCCCCCCCCCCCCCC</t>
  </si>
  <si>
    <t>872.68091:489330 873.68558:244178 874.69024:79641</t>
  </si>
  <si>
    <t>51.00081:539 51.67923:516 53.73208:496 59.01367:7543 59.01441:590 60.64237:511 60.85469:625 65.68336:516 71.01368:8750 72.12825:548 81.49804:507 84.91198:515 89.02425:19974 89.76908:480 95.18625:536 97.26704:562 101.02431:14450 104.72740:497 108.98376:602 112.98553:730 113.02431:6545 118.39520:546 119.03493:12529 131.03510:1056 143.03508:1783 149.04562:1371 161.04565:2699 162.78691:676 175.53409:616 179.05637:5198 180.43961:548 183.21916:571 225.14053:622 226.60432:39375 239.23825:566 245.31738:561 249.58197:565 261.62024:588 280.26529:1433 337.34814:1490 341.00204:597 383.35437:1559 403.83408:537 408.38599:2110 430.20520:618 436.41843:527 461.93289:536 468.42197:563 468.90836:517 512.43024:500 596.29590:624 646.61536:20031 664.62543:8319 713.28296:572 795.38312:569 818.31183:565 826.67828:22255</t>
  </si>
  <si>
    <t>PC 40:8|PC 18:2_22:6</t>
  </si>
  <si>
    <t>C48H80NO8P</t>
  </si>
  <si>
    <t>FCTKCFNDGVBOBD-UHFFFAOYSA-N</t>
  </si>
  <si>
    <t>O=C(OCC(OC(=O)CCC=CCC=CCC=CCC=CCC=CCC=CCC)COP(=O)([O-])OCC[N+](C)(C)C)CCCCCCCC=CCC=CCCCCC</t>
  </si>
  <si>
    <t>874.56018:284337 875.56485:157304 876.56952:45043</t>
  </si>
  <si>
    <t>50.16821:872 52.06832:863 52.76427:877 55.96011:813 60.52944:925 65.58958:900 67.54572:795 74.83898:871 76.06835:929 94.02882:1085 104.95396:1092 112.98564:2407 131.20566:804 141.91373:766 149.73091:928 160.93915:839 161.53439:821 168.04340:950 192.70264:876 225.69363:918 226.59949:17983 226.60741:40248 279.23337:35632 283.24393:1689 315.61569:880 321.24438:1193 327.23340:12428 365.17340:920 396.02875:823 432.39948:843 436.50311:839 442.78802:964 451.72067:986 460.21521:859 503.54800:844 541.78467:1015 668.33051:878 806.19745:884 810.38348:923 814.54083:7901 852.55292:969</t>
  </si>
  <si>
    <t>HexCer 42:0;O3|HexCer 17:0;O2/25:0;O</t>
  </si>
  <si>
    <t>C48H95NO9</t>
  </si>
  <si>
    <t>HexCer_HDS</t>
  </si>
  <si>
    <t>QQNSWSSWPBBPHV-UHFFFAOYSA-N</t>
  </si>
  <si>
    <t>O=C(NC(COC1OC(CO)C(O)C(O)C1O)C(O)CCCCCCCCCCCCCC)C(O)CCCCCCCCCCCCCCCCCCCCCCC</t>
  </si>
  <si>
    <t>874.70038:186226 875.70505:94293 876.70971:24134</t>
  </si>
  <si>
    <t>55.07421:493 55.33305:509 59.01367:6240 61.98817:559 69.88618:696 71.01363:6558 74.49590:588 79.71573:486 89.02426:15261 96.40984:539 97.65321:580 97.69244:547 101.02431:10120 101.02631:601 104.58487:546 108.68971:502 111.94704:492 112.98560:754 113.02428:4985 119.03496:10909 121.30164:473 131.03490:1628 143.03510:1944 148.86351:538 149.04564:939 153.93652:506 161.04561:1978 161.69968:900 161.75284:686 161.79164:580 177.13458:647 179.05634:6535 197.38103:597 199.24042:572 226.60103:23352 226.95120:534 238.95625:479 239.30945:575 247.92296:538 253.99783:575 279.23340:1207 280.23679:981 299.79480:559 310.89557:534 356.87497:503 367.35849:2633 383.55124:635 402.61456:594 410.40128:1074 422.40109:7531 437.33102:506 469.04825:648 480.61728:538 555.16583:571 568.50629:515 571.33972:525 572.45447:666 666.64136:9220 712.65869:571 732.88348:814 733.29773:582 814.69330:642 828.69366:10887</t>
  </si>
  <si>
    <t>PC 40:7|PC 18:1_22:6</t>
  </si>
  <si>
    <t>C48H82NO8P</t>
  </si>
  <si>
    <t>FPEVDFOXMCHLKL-UHFFFAOYSA-N</t>
  </si>
  <si>
    <t>O=C(OCC(OC(=O)CCC=CCC=CCC=CCC=CCC=CCC=CCC)COP(=O)([O-])OCC[N+](C)(C)C)CCCCCCCC=CCCCCCCCC</t>
  </si>
  <si>
    <t>876.57642:287178 877.58108:160386 878.58575:44319</t>
  </si>
  <si>
    <t>50.96861:928 51.33135:767 51.64965:914 52.53909:852 57.39699:989 61.58595:838 61.73386:890 65.19984:817 66.08626:851 67.15574:1017 71.63083:892 78.15978:1089 86.64575:853 87.85711:864 97.74953:1004 105.51854:835 106.86430:927 107.27708:1013 112.98565:3967 129.90388:849 132.55534:1064 142.47627:1019 146.43895:845 150.68523:800 155.49611:968 161.08194:1073 161.09381:1447 161.11549:1141 161.14001:1095 161.14665:1431 161.16681:994 161.17075:1034 168.04326:828 216.71690:999 219.40173:877 224.06966:898 226.60469:51652 226.61253:9191 226.61674:2074 229.19647:1801 247.89417:923 281.24896:21064 283.24350:8698 327.23346:32020 468.94385:846 506.32544:4796 544.24133:992 581.20312:980 631.73145:1001 680.75098:920 722.23047:888 778.04993:903 780.44513:962 816.55524:13931</t>
  </si>
  <si>
    <t>PC 40:7|PC 18:2_22:5</t>
  </si>
  <si>
    <t>OUAMUEKHWHGDGC-UHFFFAOYSA-N</t>
  </si>
  <si>
    <t>O=C(OCC(OC(=O)CCCCCC=CCC=CCC=CCC=CCC=CCC)COP(=O)([O-])OCC[N+](C)(C)C)CCCCCCCC=CCC=CCCCCC</t>
  </si>
  <si>
    <t>876.57526:91459 877.57992:49850 878.58459:14583</t>
  </si>
  <si>
    <t>51.59845:588 52.84289:563 53.19430:501 58.46929:478 59.02633:482 60.02622:481 61.98827:757 62.91400:568 64.08414:528 72.90891:496 81.95023:525 83.40530:504 84.70956:583 89.84364:493 91.02194:658 95.70995:502 96.96002:3820 106.98369:489 108.08394:555 110.37653:460 112.98570:1509 115.18722:467 119.94687:732 121.15598:616 122.57475:493 126.98922:554 131.08524:534 139.65923:619 144.20088:547 144.36053:497 161.50540:511 161.70450:593 162.56097:682 162.60127:592 185.01048:493 226.60434:37166 234.12773:527 250.61526:622 255.48607:532 258.73535:663 259.24371:596 277.21783:737 279.23340:15087 303.23340:3005 305.24939:1394 329.24905:9429 334.64780:550 336.79446:577 397.56567:610 439.24454:566 504.31070:827 653.82721:587 714.78857:546 729.58032:532 748.12634:536 816.55579:4075 831.97729:578</t>
  </si>
  <si>
    <t>Hex2Cer 32:1;O2</t>
  </si>
  <si>
    <t>C44H83NO13</t>
  </si>
  <si>
    <t>Hex2Cer</t>
  </si>
  <si>
    <t>JHDKKSUDDCNYLO-UHFFFAOYSA-N</t>
  </si>
  <si>
    <t>O=C(NC(COC1OC(CO)C(OC2OC(CO)C(O)C(O)C2O)C(O)C1O)C(O)C=CCCCCCCCCCCC)CCCCCCCCCCCCCCC</t>
  </si>
  <si>
    <t>878.58521:89287 879.58987:44831 880.59454:11855</t>
  </si>
  <si>
    <t>55.77286:516 57.44154:475 59.01366:1313 61.00541:474 61.98825:527 63.46177:549 68.70255:592 68.88981:543 70.28777:486 70.83173:484 71.01370:1223 78.91970:610 82.21247:538 88.55418:526 89.02428:3371 98.19177:510 101.02438:2898 112.98540:2802 113.02448:1558 119.03490:1029 127.39309:569 143.03505:829 156.50874:517 161.04562:932 162.01483:517 164.02730:637 164.06625:585 164.11136:582 164.12755:585 167.40042:541 176.11154:541 179.05635:1441 202.94002:1057 203.94125:1969 226.59741:1115 226.60434:35881 236.70407:466 236.96252:550 237.10275:470 239.24542:596 241.28778:510 275.62485:480 311.72641:530 312.94305:589 380.81436:625 424.78696:516 440.94058:516 475.81601:549 505.96524:648 508.47513:1824 652.51648:1272 653.31073:597 670.52802:1612 730.32288:588 732.70294:748 790.28906:561 808.73785:514 832.57977:4513</t>
  </si>
  <si>
    <t>PC 40:6|PC 20:2_20:4</t>
  </si>
  <si>
    <t>C48H84NO8P</t>
  </si>
  <si>
    <t>DWNZYUCWYBDRIX-UHFFFAOYSA-N</t>
  </si>
  <si>
    <t>O=C(OCC(OC(=O)CCCCCCC=CCC=CCC=CCC=CCC)COP(=O)([O-])OCC[N+](C)(C)C)CCCCCCCCCC=CCC=CCCCCC</t>
  </si>
  <si>
    <t>878.59070:94406 879.59537:52378 880.60003:17294</t>
  </si>
  <si>
    <t>52.32263:812 55.93732:925 60.45246:882 65.70003:888 80.03197:845 81.43459:876 81.52812:834 83.36666:881 85.27943:929 88.86785:892 93.02969:785 100.05924:959 101.32365:1044 106.61981:867 108.65908:904 108.95503:833 119.03487:1479 119.94698:4382 132.87242:1012 136.50122:898 160.19833:828 160.24855:1246 161.28947:965 179.41940:840 193.56790:848 200.18179:895 212.93538:1017 226.60117:10256 226.60902:52477 279.23315:1772 281.24905:1621 303.23340:12019 307.26489:5130 329.24890:5611 420.22937:948 470.88623:966 677.05121:838 701.50568:897 732.09973:1045 745.36707:900 818.57153:5040 863.47467:1020</t>
  </si>
  <si>
    <t>PC 40:6|PC 16:0_24:6</t>
  </si>
  <si>
    <t>RONIZACHZBPGKP-UHFFFAOYSA-N</t>
  </si>
  <si>
    <t>O=C(OCC(OC(=O)CCCCC=CCC=CCC=CCC=CCC=CCC=CCC)COP(=O)([O-])OCC[N+](C)(C)C)CCCCCCCCCCCCCCC</t>
  </si>
  <si>
    <t>878.59045:317935 879.59512:187079 880.59979:53349</t>
  </si>
  <si>
    <t>51.76303:661 57.20653:585 61.98806:680 82.17841:556 87.73405:560 94.92490:1439 100.36060:540 105.63237:586 106.32741:516 112.98556:58058 119.03483:701 119.94688:988 121.50047:664 124.50950:613 147.81737:594 161.49490:577 162.57314:516 165.04108:544 168.04330:1034 172.01984:538 173.27118:548 182.16902:581 182.87570:560 183.55847:462 212.40205:480 223.23640:550 224.06963:1549 226.60060:20779 237.47231:496 255.23328:13837 262.19302:581 262.87271:507 264.99066:570 273.93002:557 274.07999:669 276.63300:518 281.24899:5349 282.32233:527 285.25861:1382 301.21765:2175 303.23273:1287 309.28058:967 311.27484:2930 327.23413:679 329.23694:637 329.24908:9979 355.26465:29714 359.99789:539 376.78809:545 480.31104:2557 499.93979:583 506.32483:620 526.46649:824 589.04034:530 631.37598:584 750.55029:549 811.10431:533 818.57086:11031</t>
  </si>
  <si>
    <t>PC 40:6|PC 18:0_22:6</t>
  </si>
  <si>
    <t>FAUYAENFVCNTAL-UHFFFAOYSA-N</t>
  </si>
  <si>
    <t>O=C(OCC(OC(=O)CCC=CCC=CCC=CCC=CCC=CCC=CCC)COP(=O)([O-])OCC[N+](C)(C)C)CCCCCCCCCCCCCCCCC</t>
  </si>
  <si>
    <t>878.59161:3339044 879.59628:1820301 880.60095:553709</t>
  </si>
  <si>
    <t>52.47718:1096 53.60512:1064 55.11547:1065 55.29209:1100 58.86693:1072 59.01366:1991 72.58999:1244 78.95887:4091 93.07082:1252 94.23753:1278 99.20197:1359 102.64149:1287 106.26394:1061 107.08657:1234 111.37470:1074 112.98560:1738 116.69163:1107 121.10218:1707 125.57459:1122 127.16167:998 131.05267:1387 131.91940:1049 133.10236:1532 137.12160:1157 137.13345:1677 148.75546:1023 149.13376:1534 161.16046:1110 161.22366:1067 161.31927:1549 161.35069:1653 161.39247:1532 161.46735:1043 163.14938:1460 168.04327:16660 177.16515:5315 191.18071:5125 211.47926:1127 224.06950:8550 226.60684:79224 229.19649:8376 249.18602:3185 255.21222:1391 283.24362:113410 283.26450:200831 309.22272:1336 319.22870:1438 327.23340:332156 379.87274:1013 416.96164:1146 419.25836:2084 490.33160:9876 508.34201:61474 534.30151:6180 535.65015:1293 552.31256:2023 651.78101:1320 671.98718:1074 761.28174:1140 818.57092:111989 878.59149:4127</t>
  </si>
  <si>
    <t>PC 40:5|PC 18:0_22:5</t>
  </si>
  <si>
    <t>C48H86NO8P</t>
  </si>
  <si>
    <t>MAAMGQXOTCBPFS-UHFFFAOYSA-N</t>
  </si>
  <si>
    <t>O=C(OCC(OC(=O)CCCCCC=CCC=CCC=CCC=CCC=CCC)COP(=O)([O-])OCC[N+](C)(C)C)CCCCCCCCCCCCCCCCC</t>
  </si>
  <si>
    <t>880.60657:526356 881.61124:280270 882.61590:108168</t>
  </si>
  <si>
    <t>50.32995:507 58.44562:542 59.16987:537 60.25503:578 68.12745:597 70.68812:558 90.94903:652 94.92503:747 99.22651:538 104.03262:489 105.89003:505 112.98549:1094 114.68250:544 142.25319:552 158.97548:593 161.01070:571 161.02327:718 161.16174:584 168.04346:2528 186.08719:562 201.55206:503 224.06958:2886 226.60460:29766 226.61250:5877 231.21208:2065 283.26450:36535 285.25906:14896 306.42029:573 329.24899:85663 349.88635:600 379.96777:560 432.46075:706 448.16312:539 490.33118:2156 508.34204:11379 599.58008:657 732.84448:871 820.58636:24358 820.63605:1234 880.60803:1777</t>
  </si>
  <si>
    <t>PI 38:6|PI 16:0_22:6</t>
  </si>
  <si>
    <t>C47H79O13P</t>
  </si>
  <si>
    <t>FPHAZHKZJQOPBU-UHFFFAOYSA-N</t>
  </si>
  <si>
    <t>O=C(OCC(OC(=O)CCC=CCC=CCC=CCC=CCC=CCC=CCC)COP(=O)(O)OC1C(O)C(O)C(O)C(O)C1O)CCCCCCCCCCCCCCC</t>
  </si>
  <si>
    <t>881.51947:207203 882.52414:109588 883.52881:32321</t>
  </si>
  <si>
    <t>50.77289:566 58.15522:502 59.44249:557 59.84044:499 61.51261:608 61.98821:859 64.84680:634 66.14268:510 70.85051:558 74.75181:537 91.02550:517 93.76646:476 105.06510:465 106.93247:476 107.46985:535 112.98557:1014 116.02001:542 120.35581:494 135.79466:498 137.47284:555 143.14690:557 149.16743:526 152.99615:788 155.09888:532 158.97556:666 161.73808:528 161.76167:620 161.80000:781 161.82896:727 161.88406:669 161.88773:658 161.90611:488 161.96718:656 161.97461:553 162.00690:533 171.75404:570 177.85548:537 197.51054:581 223.00136:1107 226.60434:34617 235.42072:556 241.01230:2858 243.67545:480 255.23320:3220 263.06253:543 263.66623:487 266.31406:529 302.64032:510 327.23361:2627 375.07709:581 391.22668:1477 434.15570:597 448.57068:576 475.36163:515 476.56351:587 513.56763:504 553.27899:1662 566.93726:647 576.62659:577 653.32538:611 716.59436:570 852.11694:630 852.86194:645 881.51776:2200</t>
  </si>
  <si>
    <t>PC 40:4|PC 20:0_20:4</t>
  </si>
  <si>
    <t>C48H88NO8P</t>
  </si>
  <si>
    <t>DDIJTWRVGORCFN-UHFFFAOYSA-N</t>
  </si>
  <si>
    <t>O=C(OCC(OC(=O)CCCCCCC=CCC=CCC=CCC=CCC)COP(=O)([O-])OCC[N+](C)(C)C)CCCCCCCCCCCCCCCCCCC</t>
  </si>
  <si>
    <t>882.62158:131531 883.62625:68074 884.63092:17049</t>
  </si>
  <si>
    <t>51.99848:782 57.04182:903 69.32778:869 88.36100:1028 91.19002:772 95.52661:876 96.96001:38771 96.96948:4406 98.34369:852 100.54289:885 112.98556:7592 121.41398:853 123.29404:899 143.09129:842 149.63814:855 154.29247:937 161.68974:886 161.73657:936 161.78159:990 161.83865:888 162.68355:847 162.75641:846 174.86604:1021 190.12881:894 203.55360:812 213.79169:1028 226.60345:59682 237.52701:880 265.32031:869 303.23343:20407 307.26440:1885 311.29608:9587 324.02280:918 330.25357:1254 536.37347:2443 822.60083:5452</t>
  </si>
  <si>
    <t>PC 40:4|PC 18:0_22:4</t>
  </si>
  <si>
    <t>WUIUYHXOIXOMHN-UHFFFAOYSA-N</t>
  </si>
  <si>
    <t>O=C(OCC(OC(=O)CCCCCCCCC=CCC=CCC=CCC=CCC)COP(=O)([O-])OCC[N+](C)(C)C)CCCCCCCCCCCCCCCCC</t>
  </si>
  <si>
    <t>882.62268:3824667 883.62735:2191308 884.63202:631234</t>
  </si>
  <si>
    <t>56.21119:2332 59.64862:1763 63.18750:1844 78.95885:3145 93.60258:1898 95.64185:1835 98.30334:1693 107.92207:1820 110.08256:1749 112.98562:78281 115.84557:1973 134.29524:1874 134.72400:1861 152.99574:2147 159.86267:2368 159.89993:1942 168.03389:1972 168.04320:16754 171.26338:1790 171.48199:2061 192.72527:1675 224.06960:15932 226.60464:110429 226.61252:20060 231.06252:2231 234.21407:2069 256.92609:2315 283.26462:273521 287.27463:13969 303.23343:3576 305.24902:3458 331.26477:824901 419.25781:4238 468.86996:2038 486.48746:2321 490.33139:12739 508.34201:57658 537.73175:1881 538.33173:7150 556.34210:5372 645.29584:1978 732.75677:2305 751.52728:2387 761.23468:1990 822.60223:170948 881.08716:1864 882.62390:8878</t>
  </si>
  <si>
    <t>PI 38:5|PI 18:1_20:4</t>
  </si>
  <si>
    <t>C47H81O13P</t>
  </si>
  <si>
    <t>XGZVRASBCZTHNO-UHFFFAOYSA-N</t>
  </si>
  <si>
    <t>O=C(OCC(OC(=O)CCCCCCC=CCC=CCC=CCC=CCC)COP(=O)(O)OC1C(O)C(O)C(O)C(O)C1O)CCCCCCCC=CCCCCCCCC</t>
  </si>
  <si>
    <t>883.53302:627482 884.53769:309794 885.54236:94257</t>
  </si>
  <si>
    <t>60.39303:819 63.16026:810 69.45354:940 78.95887:985 81.45996:869 87.09184:889 88.88055:785 90.93750:974 91.02201:2002 93.87663:863 101.82470:946 104.64341:935 112.98554:24800 113.98889:1824 115.53428:994 124.10558:859 136.89444:2398 138.91020:1207 152.99591:1713 161.82571:873 161.89659:1276 164.57362:842 180.97314:6291 182.90042:1523 207.10536:834 208.94780:864 221.49399:906 223.00168:1141 226.59814:4753 226.60587:54162 237.38348:907 241.01215:6591 241.05721:1077 255.23354:3324 259.02313:905 272.21149:809 281.24905:4380 297.03885:1921 303.23325:6395 315.04968:1049 329.24936:3546 389.84650:798 391.22678:1946 398.60477:917 417.24213:1789 468.91504:1034 479.19864:886 532.68402:850 553.28046:1813 558.81293:836 579.29529:3969 664.06805:896 687.53668:2175 698.59521:1070 732.67242:969 883.53436:5147</t>
  </si>
  <si>
    <t>PI 38:5|PI 18:0_20:5</t>
  </si>
  <si>
    <t>SUYDNPBYMBTSMM-UHFFFAOYSA-N</t>
  </si>
  <si>
    <t>O=C(OCC(OC(=O)CCCC=CCC=CCC=CCC=CCC=CCC)COP(=O)(O)OC1C(O)C(O)C(O)C(O)C1O)CCCCCCCCCCCCCCCCC</t>
  </si>
  <si>
    <t>883.53424:410966 884.53891:213700 885.54358:70190</t>
  </si>
  <si>
    <t>54.00162:910 55.06036:978 63.47499:821 67.62469:872 68.14162:855 75.24728:883 78.88715:860 79.28160:963 79.28923:880 79.34190:840 88.91313:1068 89.23426:931 96.52878:831 102.95678:26866 102.95880:1477 108.80952:833 121.55421:903 141.47017:805 152.99609:1677 198.24471:818 219.68047:914 223.00171:1114 223.44864:809 226.59834:16166 226.60632:44967 227.32333:1004 241.01239:3918 281.24844:1127 283.26486:3106 301.21838:1368 308.65289:852 329.24988:1492 352.37311:1050 409.23715:932 419.25726:1237 429.67374:964 469.29449:1031 513.03149:859 581.30914:1281 606.13092:1080 610.06799:881 732.67950:1226 838.47095:817 883.53424:2605</t>
  </si>
  <si>
    <t>PC 40:3|PC 20:0_20:3</t>
  </si>
  <si>
    <t>C48H90NO8P</t>
  </si>
  <si>
    <t>REABNEVSLLNWCN-UHFFFAOYSA-N</t>
  </si>
  <si>
    <t>O=C(OCC(OC(=O)CCCCCCCCCC=CCC=CCC=CCC)COP(=O)([O-])OCC[N+](C)(C)C)CCCCCCCCCCCCCCCCCCC</t>
  </si>
  <si>
    <t>884.63708:128489 885.64175:98424 886.64642:35318</t>
  </si>
  <si>
    <t>55.99012:802 57.72338:905 61.89100:822 62.14893:913 63.17580:758 64.46012:867 88.70573:934 96.95991:963 100.11211:868 101.00380:819 102.95671:1794 107.09794:775 112.98563:3455 117.86991:855 125.06668:857 143.92020:975 145.98872:943 158.08595:884 162.83366:1281 162.83762:1511 162.88016:1205 162.89789:983 162.92981:1126 162.94347:805 162.96925:1373 168.04288:1278 182.58473:865 183.80740:839 203.04472:940 211.70712:951 225.85645:832 226.59480:1490 226.60010:24912 299.10104:890 305.24902:17896 311.29614:3315 321.89102:902 333.28058:2194 337.64502:916 339.86450:1189 387.99371:1146 485.15283:900 516.77795:886 824.61725:4268 859.45074:875</t>
  </si>
  <si>
    <t>PI 38:4|PI 18:0_20:4</t>
  </si>
  <si>
    <t>C47H83O13P</t>
  </si>
  <si>
    <t>OJESNYFIPWSOPO-UHFFFAOYSA-N</t>
  </si>
  <si>
    <t>O=C(OCC(OC(=O)CCCCCCC=CCC=CCC=CCC=CCC)COP(=O)(O)OC1C(O)C(O)C(O)C(O)C1O)CCCCCCCCCCCCCCCCC</t>
  </si>
  <si>
    <t>885.54987:4349466 886.55453:2255621 887.55920:696968</t>
  </si>
  <si>
    <t>54.82896:540 58.49228:667 60.03781:523 61.98820:1238 77.14739:638 78.64706:543 78.95885:3433 81.08496:553 81.71694:591 82.82907:526 86.01665:583 87.68981:554 95.81331:503 96.96956:1740 99.61305:609 101.97002:655 112.98561:1563 113.88697:495 128.70183:580 141.55814:690 147.18266:725 152.44308:543 152.99586:13294 157.56467:553 158.97574:699 166.29443:583 171.45978:592 179.46426:563 205.19635:1192 223.00151:7336 226.60124:6888 226.60912:30874 241.01204:43382 257.13324:613 257.33075:567 259.02267:3709 259.24326:3826 262.23502:575 283.26447:44053 288.18863:571 297.03845:5479 303.23331:56291 315.04935:2153 316.67435:567 323.91965:538 342.51517:542 351.37122:553 378.66177:576 410.97028:585 419.25778:23345 437.26828:1260 439.22678:3116 468.93976:649 581.31055:23084 599.32123:7905 599.34851:719 601.27930:5465 885.55017:21012</t>
  </si>
  <si>
    <t>PI 38:4|PI 18:1_20:3</t>
  </si>
  <si>
    <t>CXNBRAHXDUJOGO-UHFFFAOYSA-N</t>
  </si>
  <si>
    <t>O=C(OCC(OC(=O)CCCCCCCCCC=CCC=CCC=CCC)COP(=O)(O)OC1C(O)C(O)C(O)C(O)C1O)CCCCCCCC=CCCCCCCCC</t>
  </si>
  <si>
    <t>885.55139:78106 886.55606:39994 887.56073:9371</t>
  </si>
  <si>
    <t>51.49823:1100 54.20245:1019 55.68398:932 56.08566:846 61.98820:1677 63.00749:797 65.62347:917 66.90737:843 73.26402:813 73.26612:846 79.15819:763 81.24692:836 81.91271:891 89.93192:871 91.48958:816 91.52739:820 94.89578:845 102.95673:16621 112.98553:9603 128.95946:1022 129.97585:1777 136.11194:908 152.99597:2613 153.37970:1090 160.34323:852 160.54329:1132 160.59264:1205 165.26573:862 176.94417:795 186.63280:907 190.87871:816 200.20758:873 205.09993:1014 226.59474:1666 226.59993:22784 226.60799:32036 241.01186:4220 241.41399:891 281.24911:3310 283.88669:895 305.24927:4903 338.74225:843 417.24265:1707 506.52902:974 533.18597:866 579.29443:2874 673.53076:2954 871.61700:963 885.55048:1646</t>
  </si>
  <si>
    <t>PC 40:2|PC 22:0_18:2</t>
  </si>
  <si>
    <t>C48H92NO8P</t>
  </si>
  <si>
    <t>LDQMGTRKTWSKIW-UHFFFAOYSA-N</t>
  </si>
  <si>
    <t>O=C(OCC(OC(=O)CCCCCCCC=CCC=CCCCCC)COP(=O)([O-])OCC[N+](C)(C)C)CCCCCCCCCCCCCCCCCCCCC</t>
  </si>
  <si>
    <t>886.65222:92976 887.65689:47426 888.66156:13865</t>
  </si>
  <si>
    <t>57.76042:786 58.77008:988 61.46217:805 62.56567:895 62.79602:900 66.61640:831 72.91993:921 93.09650:822 97.01657:843 99.72101:943 109.62208:936 110.04224:921 112.93454:819 121.80026:852 122.18163:874 123.01205:870 132.83038:825 136.29713:815 162.84561:832 162.96919:1115 162.97299:1052 163.02202:1303 163.02676:1718 195.34062:843 226.60251:51025 226.61038:6928 227.86433:799 245.77092:891 279.23328:18408 290.98904:887 335.29623:1435 339.32706:6126 347.80945:1178 395.13916:917 483.92938:870 517.36182:987 518.87866:846 553.81860:827 629.55554:917 730.26276:945 737.78162:879 826.63251:4857</t>
  </si>
  <si>
    <t>PI 38:3|PI 18:0_20:3</t>
  </si>
  <si>
    <t>C47H85O13P</t>
  </si>
  <si>
    <t>GGSSNEAFVQRIHU-UHFFFAOYSA-N</t>
  </si>
  <si>
    <t>O=C(OCC(OC(=O)CCCCCCCCCC=CCC=CCC=CCC)COP(=O)(O)OC1C(O)C(O)C(O)C(O)C1O)CCCCCCCCCCCCCCCCC</t>
  </si>
  <si>
    <t>887.56366:376127 888.56833:188553 889.57300:57317</t>
  </si>
  <si>
    <t>51.30146:532 51.85160:502 53.90987:488 53.97110:493 55.44334:551 57.25418:452 61.98823:1010 62.83605:573 70.17573:492 72.08846:456 75.00880:469 75.65202:583 77.22066:558 78.63726:554 79.50666:543 80.59111:588 86.97617:567 102.95676:32678 112.98559:4911 113.98906:768 128.95966:1774 129.09785:608 129.97580:2095 144.45634:498 147.50934:458 154.97701:595 158.09932:541 161.65114:562 161.67250:507 161.74002:848 161.74458:634 161.74921:659 170.94427:729 171.22458:617 177.22069:578 181.17332:532 186.54552:471 199.68320:610 226.59380:1145 226.59869:11843 226.60663:22836 241.01248:1563 247.09927:560 259.81598:563 283.26450:787 305.24911:2594 345.14914:546 356.00562:527 384.55075:542 419.25909:776 423.02502:496 512.53870:643 517.58459:521 518.80328:588 562.05084:544 581.31183:613 609.58948:650 704.84369:597 741.79431:544 840.50226:572 887.56268:861</t>
  </si>
  <si>
    <t>887.56433:2831429 888.56900:1489980 889.57367:445308</t>
  </si>
  <si>
    <t>50.14984:1187 51.58234:879 53.49514:952 54.56276:905 54.70214:995 55.94028:1207 56.07131:910 56.90393:1141 59.77399:945 61.98817:9740 62.46483:915 67.16782:1112 74.41874:1028 78.95885:6510 79.93052:1235 79.95547:917 83.21047:984 87.59188:1027 96.96948:1978 97.39712:962 102.95671:13595 108.62918:994 112.93407:1025 112.98557:1214 128.95679:1765 128.95953:16810 129.96301:1135 129.97581:16454 138.55193:963 148.99193:1054 152.99594:22242 159.07234:1014 162.86659:1024 162.87114:1068 162.87729:1341 162.89342:1250 162.93614:1213 162.95285:1116 162.96960:1542 165.92836:1093 167.47543:1149 171.89886:1103 192.84415:1208 223.00162:22504 226.60004:30367 241.01208:90572 255.23291:1044 256.10562:1186 256.23648:1270 259.02292:7827 270.96664:1558 279.23309:2170 280.23740:1593 283.26456:104394 297.03842:14086 298.25595:1240 303.23312:1480 305.24902:102109 315.04913:4331 320.46667:1087 358.20679:1058 416.74191:1003 419.25790:57277 420.70697:989 437.26837:4681 441.24191:7412 442.70685:1015 453.28387:1235 460.76947:1130 509.19461:1185 555.20093:2159 581.31073:46215 599.32117:10543 603.29535:8959 621.30573:1638 708.95288:1141 732.86505:1283 743.54388:1763 887.56482:38472</t>
  </si>
  <si>
    <t>PI 38:2|PI 18:0_20:2</t>
  </si>
  <si>
    <t>C47H87O13P</t>
  </si>
  <si>
    <t>RZFIPFIGUWXYNB-UHFFFAOYSA-N</t>
  </si>
  <si>
    <t>O=C(OCC(OC(=O)CCCCCCCCCC=CCC=CCCCCC)COP(=O)(O)OC1C(O)C(O)C(O)C(O)C1O)CCCCCCCCCCCCCCCCC</t>
  </si>
  <si>
    <t>889.57996:219162 890.58462:120309 891.58929:34843</t>
  </si>
  <si>
    <t>51.62495:557 53.75800:529 55.82937:617 61.98818:5148 65.58646:496 66.97491:514 69.93395:535 70.69307:484 71.40665:665 72.15685:568 78.95879:622 96.95995:778 99.71632:513 100.27613:546 100.93363:594 102.95667:526 111.35245:558 112.17799:527 116.07153:539 122.58034:558 128.95958:5347 129.97571:10254 130.52095:569 147.97336:592 152.99591:2336 158.97557:1152 160.27742:600 160.28194:595 160.39609:726 160.41341:573 160.43694:806 160.46446:601 168.04309:1171 215.07440:754 223.00113:1364 226.60028:16397 226.60835:17180 241.01212:8449 269.56476:521 281.24869:917 283.26456:9245 297.03897:1422 307.26471:9221 315.04855:644 319.59119:639 319.61533:573 380.77719:514 419.25787:5293 441.08206:501 443.25964:701 458.28622:535 465.39920:651 468.96423:586 473.38367:603 487.64374:540 523.80579:534 581.31006:4434 599.32013:715 745.55951:1045 829.64417:1463 888.85333:607 889.58032:4999</t>
  </si>
  <si>
    <t>PC O-42:6|PC O-22:2_20:4</t>
  </si>
  <si>
    <t>C50H90NO7P</t>
  </si>
  <si>
    <t>HFFINFUFQUTZBW-UHFFFAOYSA-N</t>
  </si>
  <si>
    <t>O=C(OC(COCCCCCCCCCCCCC=CCC=CCCCCC)COP(=O)([O-])OCC[N+](C)(C)C)CCCCCCC=CCC=CCC=CCC=CCC</t>
  </si>
  <si>
    <t>892.64270:476169 893.64737:270087 894.65204:82397</t>
  </si>
  <si>
    <t>56.57810:504 59.68811:502 81.40385:543 87.48030:549 96.95994:7087 96.96948:725 100.93346:648 102.95663:632 104.95374:925 107.34614:613 109.45065:606 112.98547:1267 118.66609:661 126.88698:555 146.50902:509 151.19037:557 154.08185:522 161.09550:524 162.66646:638 165.28944:599 205.19624:1462 211.64778:515 226.60258:32474 226.61038:3859 259.24326:6149 285.22223:575 285.25830:732 303.23325:106772 304.23666:788 329.24911:1025 362.17593:517 395.11981:563 435.15161:585 436.14197:537 457.31107:965 475.31894:609 510.50372:534 528.38251:3805 529.47943:615 535.62506:576 546.39374:16176 546.69897:591 681.11621:580 688.16156:625 808.24860:712 820.06519:522 832.62238:19169 892.64441:911 896.14111:655</t>
  </si>
  <si>
    <t>PC O-42:6|PC O-20:0_22:6</t>
  </si>
  <si>
    <t>CMUBJJYJAQLOOD-UHFFFAOYSA-N</t>
  </si>
  <si>
    <t>O=C(OC(COCCCCCCCCCCCCCCCCCCCC)COP(=O)([O-])OCC[N+](C)(C)C)CCC=CCC=CCC=CCC=CCC=CCC=CCC</t>
  </si>
  <si>
    <t>892.64331:238066 893.64798:136013 894.65265:46176</t>
  </si>
  <si>
    <t>50.28851:834 53.24748:858 57.42133:859 72.11853:929 73.92338:783 78.95893:1040 79.08181:1056 82.00090:901 82.66461:820 88.64050:1040 90.68961:870 94.74721:770 96.50679:934 102.95677:1809 104.95374:1957 117.15810:877 120.07175:796 125.15932:949 129.84819:884 162.72806:1026 162.74791:1246 162.77367:883 162.81563:1285 162.82034:1358 168.04314:1186 174.77669:798 177.57164:930 181.91090:1072 183.20737:1047 209.64406:871 226.59828:6461 226.60616:53256 283.24338:6701 296.43613:931 303.23331:13766 327.23328:16459 369.42856:958 429.09705:948 522.39313:4108 546.39435:2666 746.95392:893 758.02332:939 781.70679:1016 832.62195:9897 871.60712:1053</t>
  </si>
  <si>
    <t>PC O-42:5|PC O-22:1_20:4</t>
  </si>
  <si>
    <t>C50H92NO7P</t>
  </si>
  <si>
    <t>RKYSEMIYABTQRA-UHFFFAOYSA-N</t>
  </si>
  <si>
    <t>O=C(OC(COCCCCCCCCCCCCC=CCCCCCCCC)COP(=O)([O-])OCC[N+](C)(C)C)CCCCCCC=CCC=CCC=CCC=CCC</t>
  </si>
  <si>
    <t>894.66003:143202 895.66470:81147 896.66937:23613</t>
  </si>
  <si>
    <t>51.56355:844 56.26705:931 60.76854:798 66.07856:837 71.02628:812 71.42011:782 75.13518:972 85.93580:793 89.29890:888 92.36579:1024 109.00864:828 112.13968:916 112.98553:1713 113.74046:906 128.50798:795 128.59547:847 141.94926:833 144.62294:901 145.44002:877 162.04720:848 162.46458:846 162.54384:939 164.78023:901 168.45915:842 196.23082:801 226.60684:60327 259.24347:2328 276.02554:976 303.23331:41510 436.27036:886 492.94778:1081 530.39984:1308 548.40936:5449 574.26257:1111 732.80676:925 788.95288:910 826.70990:847 834.63818:10115 888.97131:918 892.70123:972</t>
  </si>
  <si>
    <t>PC O-42:4|PC O-24:2_18:2</t>
  </si>
  <si>
    <t>C50H94NO7P</t>
  </si>
  <si>
    <t>FPIPBMXOYKQERH-UHFFFAOYSA-N</t>
  </si>
  <si>
    <t>O=C(OC(COCCCCCCCCCCCCC=CCC=CCCCCCCC)COP(=O)([O-])OCC[N+](C)(C)C)CCCCCCCC=CCC=CCCCCC</t>
  </si>
  <si>
    <t>896.67468:173957 897.67935:97885 898.68402:27591</t>
  </si>
  <si>
    <t>51.07282:552 51.56789:554 53.75322:529 56.16633:480 67.25856:535 67.50357:570 70.96664:517 81.02105:514 88.91997:598 96.95999:1238 112.98559:1910 116.24208:519 126.97295:552 131.64870:576 131.74168:599 161.27985:542 161.86160:506 161.92107:528 162.30414:578 173.86966:529 178.73477:572 197.32745:656 198.40141:496 203.07672:587 226.60057:19490 226.60852:15946 228.39398:521 250.50278:544 279.23318:53100 281.24936:836 285.11679:572 305.24902:673 319.98148:595 349.56046:537 354.64651:504 375.65976:588 405.29935:516 431.52335:555 469.60602:590 485.34009:861 556.41418:2522 574.42529:4703 597.39136:537 626.79553:533 732.73328:560 818.74738:526 836.65356:8410 896.67480:782</t>
  </si>
  <si>
    <t>PC O-42:4|PC O-22:0_20:4</t>
  </si>
  <si>
    <t>DEMDUSFYNMEEAF-UHFFFAOYSA-N</t>
  </si>
  <si>
    <t>O=C(OC(COCCCCCCCCCCCCCCCCCCCCCC)COP(=O)([O-])OCC[N+](C)(C)C)CCCCCCC=CCC=CCC=CCC=CCC</t>
  </si>
  <si>
    <t>896.67505:482225 897.67972:273248 898.68438:123098</t>
  </si>
  <si>
    <t>54.52118:464 61.16523:602 64.31634:508 68.99556:661 69.25806:494 74.47652:526 78.12849:556 88.65861:498 94.92493:2069 110.91899:486 112.98550:2185 113.61213:582 124.09822:619 135.81133:521 137.21188:554 164.21973:799 164.23692:514 172.95869:597 190.65788:530 194.55444:574 205.19644:1414 226.60431:36383 240.92064:592 257.08105:543 259.24344:5955 275.79910:552 279.11951:565 279.23337:6818 303.23337:107907 440.69116:581 461.34131:830 474.92358:620 532.41479:4606 550.42535:14230 663.36963:542 732.82098:787 732.86426:513 836.65424:19341 886.96954:580 896.67358:2016</t>
  </si>
  <si>
    <t>PC 42:10|PC 20:4_22:6</t>
  </si>
  <si>
    <t>C50H80NO8P</t>
  </si>
  <si>
    <t>NCCFWEYCQVRLBU-UHFFFAOYSA-N</t>
  </si>
  <si>
    <t>O=C(OCC(OC(=O)CCC=CCC=CCC=CCC=CCC=CCC=CCC)COP(=O)([O-])OCC[N+](C)(C)C)CCCCCCC=CCC=CCC=CCC=CCC</t>
  </si>
  <si>
    <t>898.56079:67162 899.56546:37406 900.57013:12059</t>
  </si>
  <si>
    <t>50.11461:536 50.96837:590 61.28263:571 61.98816:817 80.12142:504 81.65480:580 90.86073:518 91.88854:525 102.70918:538 112.98560:2367 121.97112:551 135.56046:524 158.89404:651 163.90823:608 163.92111:603 167.49998:528 168.04320:959 171.58012:536 206.94386:505 210.12404:497 222.41905:612 226.60432:34844 259.24323:968 278.36563:542 283.24313:1317 287.34158:559 303.23328:19756 327.23346:6041 363.02939:528 413.02896:513 450.02002:634 552.31171:1222 732.64905:578 838.53876:2816 865.60889:623</t>
  </si>
  <si>
    <t>PC O-42:3|PC O-24:1_18:2</t>
  </si>
  <si>
    <t>C50H96NO7P</t>
  </si>
  <si>
    <t>OGCCLWYVWGAGDA-UHFFFAOYSA-N</t>
  </si>
  <si>
    <t>O=C(OC(COCCCCCCCCCCCCC=CCCCCCCCCCC)COP(=O)([O-])OCC[N+](C)(C)C)CCCCCCCC=CCC=CCCCCC</t>
  </si>
  <si>
    <t>898.68988:261576 899.69455:148875 900.69922:39464</t>
  </si>
  <si>
    <t>50.47749:528 53.75717:659 61.66027:596 62.43428:547 63.72989:528 71.07172:532 74.17808:605 78.63511:503 78.97353:553 86.03203:496 90.54214:512 94.68584:590 96.95996:8622 96.96951:768 102.13088:577 105.41181:537 109.67520:497 112.98547:3628 115.05476:513 118.72194:580 125.56134:604 133.96777:583 134.13875:489 155.03609:553 163.84467:609 164.17700:550 164.61627:563 176.54446:534 206.87157:527 226.60432:36588 255.38844:489 279.23322:59617 281.24887:4722 292.14307:575 292.96738:531 304.23697:1206 307.26437:844 348.65036:533 390.15167:540 470.96970:524 558.43005:1605 576.44098:5807 608.08917:586 712.09479:595 838.66864:12430 898.68787:695</t>
  </si>
  <si>
    <t>PC O-42:2|PC O-24:1_18:1</t>
  </si>
  <si>
    <t>C50H98NO7P</t>
  </si>
  <si>
    <t>VHYXKUNQDMEINA-UHFFFAOYSA-N</t>
  </si>
  <si>
    <t>O=C(OC(COCCCCCCCCCCCCC=CCCCCCCCCCC)COP(=O)([O-])OCC[N+](C)(C)C)CCCCCCCC=CCCCCCCCC</t>
  </si>
  <si>
    <t>900.70612:75207 901.71078:38924 902.71545:11332</t>
  </si>
  <si>
    <t>50.07394:801 51.64679:831 52.38717:832 54.75745:764 55.60188:856 65.56547:838 65.63624:863 65.70938:854 67.06064:929 69.39668:997 90.16605:780 91.15359:819 102.91320:1147 107.88589:884 108.79945:1052 111.13376:966 112.98567:1868 117.04135:765 118.10576:857 129.39476:834 139.37805:933 140.74138:900 141.22961:871 163.81396:861 163.98250:935 164.01726:1058 175.75839:834 181.19771:905 183.28577:871 194.78073:852 203.31653:855 226.59998:25831 226.60805:33550 230.36861:987 233.18999:1001 235.53467:908 241.80481:921 276.25067:708 281.24896:24081 284.15408:934 323.74246:905 363.46393:949 365.34311:1004 453.09262:1013 463.36948:929 533.31683:1026 576.44220:2047 610.10303:931 811.24799:946 811.72589:1024 840.68347:3358</t>
  </si>
  <si>
    <t>PC 42:8|PC 20:4_22:4</t>
  </si>
  <si>
    <t>C50H84NO8P</t>
  </si>
  <si>
    <t>XWJCIQBOCGNHAY-UHFFFAOYSA-N</t>
  </si>
  <si>
    <t>O=C(OCC(OC(=O)CCCCCCCCC=CCC=CCC=CCC=CCC)COP(=O)([O-])OCC[N+](C)(C)C)CCCCCCC=CCC=CCC=CCC=CCC</t>
  </si>
  <si>
    <t>902.58850:70729 903.59317:42396 904.59784:14515</t>
  </si>
  <si>
    <t>50.10319:901 50.66553:1060 50.97104:839 66.18456:833 73.07078:783 75.32957:902 75.56054:909 77.13081:921 88.17453:835 96.96001:33819 96.96197:1813 96.96947:4259 97.79641:899 99.10024:1005 99.89487:882 100.93355:2352 102.49200:833 106.04208:1018 115.59616:791 125.13188:845 131.35416:915 147.19000:882 153.26796:999 158.97559:3130 159.75017:899 159.75937:896 159.86182:982 159.86600:903 159.89273:870 159.93196:982 176.77896:887 201.24318:994 226.59692:2226 226.60162:15149 226.60962:44396 245.54752:871 303.23346:11769 331.26505:4596 339.73187:861 361.77063:840 379.77542:854 428.30164:1374 481.15085:940 481.85803:997 614.55176:859 646.75525:883 720.16138:1066 806.37708:940 808.18280:1008 842.57080:2561</t>
  </si>
  <si>
    <t>PC 42:7|PC 20:1_22:6</t>
  </si>
  <si>
    <t>C50H86NO8P</t>
  </si>
  <si>
    <t>FYVDGOCCFDKYOR-UHFFFAOYSA-N</t>
  </si>
  <si>
    <t>O=C(OCC(OC(=O)CCC=CCC=CCC=CCC=CCC=CCC=CCC)COP(=O)([O-])OCC[N+](C)(C)C)CCCCCCCCCC=CCCCCCCCC</t>
  </si>
  <si>
    <t>904.60455:128155 905.60922:75309 906.61389:19283</t>
  </si>
  <si>
    <t>51.01142:965 52.94055:1006 53.97118:826 57.13115:896 58.82602:886 61.57021:967 72.02937:883 72.10132:879 76.75513:1008 82.08398:823 88.63649:923 98.24956:858 100.93366:1333 107.34372:861 111.66540:819 112.98566:5241 116.65978:835 120.71129:847 133.05077:900 143.55142:827 147.19371:915 155.85803:887 158.97566:3689 160.03535:1306 160.03914:1239 160.09796:1217 171.70387:914 179.97826:877 184.75340:1045 185.14236:802 185.16364:908 194.73892:891 198.76407:954 203.82692:862 217.28903:833 226.06403:908 226.60678:64202 229.19624:1141 283.24335:3835 290.82785:941 295.81577:864 309.27084:989 309.28052:6436 327.23315:8592 339.88776:1012 426.42700:998 452.25046:1201 527.57544:960 532.37891:1039 534.35834:1634 586.49939:886 626.61005:1002 655.96814:844 666.36542:924 705.38745:929 722.00201:866 732.74707:915 812.42432:928 844.58850:4078</t>
  </si>
  <si>
    <t>Hex2Cer 34:1;O2</t>
  </si>
  <si>
    <t>C46H87NO13</t>
  </si>
  <si>
    <t>PCOYXPGDIRMBSD-UHFFFAOYSA-N</t>
  </si>
  <si>
    <t>O=C(NC(COC1OC(CO)C(OC2OC(CO)C(O)C(O)C2O)C(O)C1O)C(O)C=CCCCCCCCCCCC)CCCCCCCCCCCCCCCCC</t>
  </si>
  <si>
    <t>906.61462:251852 907.61929:131060 908.62396:43708</t>
  </si>
  <si>
    <t>50.38048:950 53.42677:928 56.97171:962 59.01368:3208 59.56466:931 64.72166:832 64.90894:898 71.01370:3606 74.80936:845 75.99538:829 76.93503:874 82.24776:884 84.66974:862 85.60142:916 85.86060:887 86.72153:851 89.02422:9302 97.02946:944 97.87984:1206 100.59643:911 101.02436:6187 101.46537:841 104.34760:753 112.98561:3527 113.02439:3380 113.51505:863 119.03498:3798 120.01966:1016 121.30057:835 129.60507:1037 133.10408:906 140.90904:930 143.03497:1979 149.04546:993 159.83432:941 159.83865:807 160.00830:1131 161.04573:3241 165.11156:877 176.68292:855 179.05624:7778 179.83434:905 181.20935:971 190.58203:801 195.95399:914 200.44804:813 200.60858:946 202.43689:906 202.93987:3176 203.94144:2672 221.06734:936 226.60268:25874 338.94263:839 344.89011:853 392.76541:1023 487.72058:891 493.22122:1061 534.10803:1034 536.50635:4881 646.99536:907 680.54846:3012 685.81519:934 698.55768:2069 860.61090:8722 898.32776:1183</t>
  </si>
  <si>
    <t>PI 40:6|PI 18:0_22:6</t>
  </si>
  <si>
    <t>C49H83O13P</t>
  </si>
  <si>
    <t>DJVOKHFQPGWUPK-UHFFFAOYSA-N</t>
  </si>
  <si>
    <t>O=C(OCC(OC(=O)CCC=CCC=CCC=CCC=CCC=CCC=CCC)COP(=O)(O)OC1C(O)C(O)C(O)C(O)C1O)CCCCCCCCCCCCCCCCC</t>
  </si>
  <si>
    <t>909.55115:98810 910.55582:50258 911.56048:16109</t>
  </si>
  <si>
    <t>56.29847:509 57.13937:493 57.25925:546 59.78553:584 61.66924:593 61.98824:641 67.76770:535 70.78675:532 90.03894:458 90.98728:558 91.30366:504 92.32058:522 92.96394:519 95.98950:553 96.71095:607 102.95678:2574 112.34455:466 112.98559:797 115.29870:507 118.06023:591 129.97577:657 132.56865:570 133.41507:576 152.99594:1096 154.21724:544 161.40479:721 161.41066:692 161.42995:596 161.48503:646 172.38255:553 190.94655:525 223.00166:839 226.21295:607 226.60684:35748 240.87834:591 241.01218:5641 283.24295:1107 283.26483:5773 297.03793:617 327.23349:5249 381.16302:715 419.25870:2186 420.08395:646 465.75131:569 581.31146:1785 599.32275:804 732.78400:772 732.82349:832 755.77002:528 896.41809:502 909.55493:2471</t>
  </si>
  <si>
    <t>PI 40:5|PI 18:0_22:5</t>
  </si>
  <si>
    <t>C49H85O13P</t>
  </si>
  <si>
    <t>QLABQLNIHHHJCI-UHFFFAOYSA-N</t>
  </si>
  <si>
    <t>O=C(OCC(OC(=O)CCCCCC=CCC=CCC=CCC=CCC=CCC)COP(=O)(O)OC1C(O)C(O)C(O)C(O)C1O)CCCCCCCCCCCCCCCCC</t>
  </si>
  <si>
    <t>911.56281:420897 912.56747:232380 913.57214:72128</t>
  </si>
  <si>
    <t>51.33942:1040 54.30222:802 55.49900:751 59.32212:820 60.06353:882 61.24537:799 64.06770:956 65.56136:719 67.59267:784 68.61465:807 68.62000:835 68.83280:796 71.47889:825 73.47530:801 74.08044:735 75.92202:736 78.39900:847 85.97556:794 91.15328:940 91.33798:769 102.12167:839 105.91119:943 107.20987:1019 110.26533:833 112.98558:1956 128.95964:1131 129.97589:933 130.79018:1002 130.82355:841 132.65189:856 138.14415:839 140.01558:880 152.99599:3450 153.83850:945 160.04012:850 162.92905:977 162.98515:1316 185.93982:937 211.09818:1081 223.00165:2466 226.60432:62858 241.01210:12413 259.02289:1164 283.26453:9841 288.97635:1389 297.03864:1246 329.24911:9866 335.38464:896 366.02026:833 375.87473:1012 403.35907:953 419.25751:5319 452.27881:1057 465.24323:884 468.92337:855 521.27698:936 527.20917:1080 555.20233:2685 581.31134:5832 590.67511:1030 599.32007:1524 617.45898:1050 624.84296:1053 627.29565:1319 732.81134:1264 740.75507:879 788.33472:878 860.61804:892 891.98486:1008 911.56390:3156</t>
  </si>
  <si>
    <t>PI 40:4|PI 18:0_22:4</t>
  </si>
  <si>
    <t>C49H87O13P</t>
  </si>
  <si>
    <t>VTYLJIRGLIZEIC-UHFFFAOYSA-N</t>
  </si>
  <si>
    <t>O=C(OCC(OC(=O)CCCCCCCCC=CCC=CCC=CCC=CCC)COP(=O)(O)OC1C(O)C(O)C(O)C(O)C1O)CCCCCCCCCCCCCCCCC</t>
  </si>
  <si>
    <t>913.58026:215411 914.58493:118804 915.58960:34587</t>
  </si>
  <si>
    <t>51.46294:962 55.76563:843 59.59672:895 61.98817:6842 67.64633:924 69.26154:833 74.89132:889 79.86029:863 81.59750:827 82.51828:973 102.95673:5885 103.00408:878 112.98558:5638 119.27347:876 128.95950:7504 129.97571:13049 152.99580:1625 158.41164:887 164.01352:903 194.01140:895 194.60463:834 200.59399:929 217.59735:929 223.00162:2274 226.15742:824 226.59802:4234 226.60573:55926 241.01202:7127 283.26474:7099 297.03860:1807 305.78046:1057 315.04831:923 331.26483:7911 412.73242:997 414.54898:953 416.37219:849 419.25809:5166 448.38269:920 467.25732:1580 498.31000:863 524.35229:876 579.00787:894 581.31012:4566 583.23553:1284 599.32269:1396 601.76556:1040 617.13617:868 701.56122:1128 913.57965:3276</t>
  </si>
  <si>
    <t>PC O-44:6|PC O-24:2_20:4</t>
  </si>
  <si>
    <t>C52H94NO7P</t>
  </si>
  <si>
    <t>CLYDZGGLHUPGKJ-UHFFFAOYSA-N</t>
  </si>
  <si>
    <t>O=C(OC(COCCCCCCCCCCCCC=CCC=CCCCCCCC)COP(=O)([O-])OCC[N+](C)(C)C)CCCCCCC=CCC=CCC=CCC=CCC</t>
  </si>
  <si>
    <t>920.67517:129750 921.67984:75977 922.68451:25669</t>
  </si>
  <si>
    <t>61.98824:788 65.64574:541 69.52486:522 69.96221:560 72.27232:546 73.70685:552 81.22035:567 86.14499:546 87.57410:513 90.83434:651 93.71035:654 97.84719:510 100.93356:906 111.69102:580 112.98560:1280 131.41808:540 150.26535:637 155.32076:570 158.97548:1328 160.97076:672 161.00739:978 161.05743:643 161.09575:706 161.10011:531 161.10928:647 162.85277:601 163.01582:549 166.87901:595 211.33659:598 226.60684:35260 227.23055:664 242.78331:564 259.24368:1595 290.91678:512 298.68436:527 303.23334:37114 347.93179:546 351.27426:587 369.53250:570 398.88052:528 464.61777:659 475.62512:533 485.34229:963 556.41351:1235 574.42523:6310 609.88782:586 698.23297:579 735.94006:560 860.65375:5190 913.97083:575</t>
  </si>
  <si>
    <t>PC O-44:5|PC O-24:1_20:4</t>
  </si>
  <si>
    <t>C52H96NO7P</t>
  </si>
  <si>
    <t>AGMNLZKCJUYNCT-UHFFFAOYSA-N</t>
  </si>
  <si>
    <t>O=C(OC(COCCCCCCCCCCCCC=CCCCCCCCCCC)COP(=O)([O-])OCC[N+](C)(C)C)CCCCCCC=CCC=CCC=CCC=CCC</t>
  </si>
  <si>
    <t>922.69019:1466213 923.69485:853529 924.69952:275082</t>
  </si>
  <si>
    <t>51.31489:822 51.69886:854 52.05193:942 52.17795:840 52.86560:966 58.24792:1023 64.70396:875 78.95875:1000 86.07920:1074 105.39940:915 112.98551:40885 114.96940:1110 116.85505:893 116.99465:869 117.75556:875 162.67200:976 162.69865:959 162.74019:957 162.80563:978 162.85191:952 162.86948:988 163.31110:845 163.71782:860 205.19624:2815 218.93608:901 226.60181:50722 230.60497:911 259.24338:8966 303.23328:198039 303.65897:882 304.23697:1301 335.31958:998 360.73230:967 487.35718:2327 558.43011:6753 576.44104:23076 610.54504:962 650.34613:983 862.66937:20587 894.29340:1241 922.69318:1272</t>
  </si>
  <si>
    <t>PC 44:4|PC 24:0_20:4</t>
  </si>
  <si>
    <t>C52H96NO8P</t>
  </si>
  <si>
    <t>GGJWAWMDDPNXCZ-UHFFFAOYSA-N</t>
  </si>
  <si>
    <t>O=C(OCC(OC(=O)CCCCCCC=CCC=CCC=CCC=CCC)COP(=O)([O-])OCC[N+](C)(C)C)CCCCCCCCCCCCCCCCCCCCCCC</t>
  </si>
  <si>
    <t>938.68402:50605 939.68869:31144 940.69336:11802</t>
  </si>
  <si>
    <t>50.53716:822 54.43380:798 66.64366:835 69.01003:910 69.42006:989 69.47762:815 71.64498:801 78.77324:893 93.25088:790 94.64577:878 100.93359:902 112.98559:2547 113.26882:874 120.22839:889 120.34149:742 120.72829:896 132.03900:984 150.97586:856 160.73711:851 160.74174:989 160.82588:735 167.13786:981 176.40164:952 183.32870:909 204.93596:931 226.59976:22238 246.34338:889 288.91656:908 299.12979:1007 303.23340:10543 305.63174:1029 335.35153:899 367.35791:4792 369.25912:908 379.98831:960 414.79346:914 437.02274:1289 516.08801:904 536.98492:1233 588.96521:932 592.43658:880 661.94708:882 668.41406:917 674.51288:939 696.21271:992 826.28046:1014 878.66656:2054 898.20758:911</t>
  </si>
  <si>
    <t>LPA 16:1</t>
  </si>
  <si>
    <t>C19H37O7P</t>
  </si>
  <si>
    <t>LPA</t>
  </si>
  <si>
    <t>GLGQZYWTNAOWHT-UHFFFAOYSA-N</t>
  </si>
  <si>
    <t>N_Serum_8Xdil_400_600</t>
  </si>
  <si>
    <t>407.22095:61125 408.22562:13310 409.23028:2730</t>
  </si>
  <si>
    <t>64.63712:779 68.26694:731 68.99561:753 69.36488:645 72.95918:763 73.35452:696 78.95890:22209 79.38114:814 96.96966:1169 102.93335:778 102.94868:3820 109.66726:700 110.50134:674 112.76187:732 116.16933:816 118.54114:681 131.07700:822 135.50116:753 140.87122:698 141.97963:704 146.93906:1189 152.99597:34717 163.76205:796 163.79272:806 163.86009:811 177.15471:699 177.52115:779 183.80455:901 194.55374:715 226.60515:26086 253.21773:1544 309.53290:797 393.62106:784</t>
  </si>
  <si>
    <t>LPA 16:0</t>
  </si>
  <si>
    <t>C19H39O7P</t>
  </si>
  <si>
    <t>YNDYKPRNFWPPFU-UHFFFAOYSA-N</t>
  </si>
  <si>
    <t>409.23584:606103 410.24051:125693 411.24518:17876</t>
  </si>
  <si>
    <t>50.46812:807 54.46308:773 56.93892:804 57.13919:667 58.36007:821 67.98845:739 68.17981:714 77.73274:823 78.95887:144841 79.31412:811 94.13789:735 96.96948:12080 102.93345:1192 115.95344:722 141.72810:960 146.93896:898 149.93692:1047 150.98026:3675 152.99591:226997 154.17747:899 164.03291:997 171.00644:4862 226.16954:760 226.59990:5769 226.60783:18733 252.98969:982 255.23296:8093 268.30951:820 409.23666:2987</t>
  </si>
  <si>
    <t>LPA 18:3</t>
  </si>
  <si>
    <t>C21H37O7P</t>
  </si>
  <si>
    <t>DVNZKWQUAXJYGB-UHFFFAOYSA-N</t>
  </si>
  <si>
    <t>O=C(OCC(O)COP(=O)(O)O)CCCCCCCC=CCC=CCC=CCC</t>
  </si>
  <si>
    <t>N_Serum_8Xdil_400_600_R2</t>
  </si>
  <si>
    <t>431.22037:42139 432.22504:8611 433.22970:2225</t>
  </si>
  <si>
    <t>51.37400:711 52.26949:746 54.60295:768 56.19193:771 56.80247:769 58.48634:885 60.17404:902 61.98823:1440 67.80968:830 67.90662:665 68.99565:768 75.78289:719 75.79677:695 78.95892:7793 84.82269:708 96.96960:834 100.93359:1623 112.98578:1314 119.64168:669 127.40023:781 127.42045:765 127.97865:744 131.10982:694 141.71629:702 145.36226:745 146.39131:758 147.70111:728 152.36017:971 152.99597:13667 153.52878:824 156.47925:805 158.95169:938 160.18716:1117 160.19386:951 160.20090:884 160.24828:933 160.30261:731 160.33348:838 160.36314:898 161.46255:792 162.79280:811 174.49165:651 174.74071:748 188.67256:749 190.07204:750 192.05460:724 193.34496:752 201.24782:776 223.99960:758 226.60628:23905 259.29007:776 293.51343:808 401.98691:854 403.89145:728</t>
  </si>
  <si>
    <t>LPA 18:2</t>
  </si>
  <si>
    <t>C21H39O7P</t>
  </si>
  <si>
    <t>ZQTAMPRZFOOEEP-UHFFFAOYSA-N</t>
  </si>
  <si>
    <t>O=C(OCC(O)COP(=O)(O)O)CCCCCCCC=CCC=CCCCCC</t>
  </si>
  <si>
    <t>433.23605:1249645 434.24072:286906 435.24539:46360</t>
  </si>
  <si>
    <t>53.04173:796 54.45353:719 59.21440:798 62.78915:655 65.77431:824 70.25007:847 70.41460:769 70.76212:792 73.49635:673 73.93027:811 75.31055:683 75.51105:758 78.95888:97049 96.96952:13374 102.93360:877 109.38233:757 118.49118:755 135.39677:904 150.98027:3366 152.99594:223869 153.28699:751 155.06210:876 161.35313:1120 161.39723:836 161.47020:1277 161.48752:812 161.49165:968 164.27412:815 171.00661:5757 180.28807:766 193.44888:743 225.09250:876 226.60518:24424 229.00816:958 240.98933:1003 279.23349:3839 421.85059:816 428.28333:751 433.23669:2784 438.08490:863</t>
  </si>
  <si>
    <t>LPA 18:1</t>
  </si>
  <si>
    <t>C21H41O7P</t>
  </si>
  <si>
    <t>WRGQSWVCFNIUNZ-UHFFFAOYSA-N</t>
  </si>
  <si>
    <t>O=C(OCC(O)COP(=O)(O)O)CCCCCCCC=CCCCCCCCC</t>
  </si>
  <si>
    <t>435.25156:287833 436.25622:57842 437.26089:8850</t>
  </si>
  <si>
    <t>50.10095:707 52.28491:747 55.00541:775 55.01916:687 55.11753:794 56.26876:786 62.52110:702 68.99550:1217 72.87062:944 76.88963:771 77.17845:743 78.79309:842 78.95885:21866 79.06892:706 79.85484:672 80.09608:784 88.80511:818 90.52820:670 91.01776:820 91.64114:724 92.51676:764 94.58759:820 96.96951:1588 99.13744:665 103.11371:718 111.00598:718 116.98442:726 124.27541:836 150.98027:1194 152.99590:45414 160.12733:722 161.62115:825 161.76242:879 161.92250:999 162.57756:737 171.00630:1397 194.58090:825 199.88557:742 226.60509:29770 281.24969:1149 285.13623:726 290.98685:1695 320.54120:757</t>
  </si>
  <si>
    <t>LPE O-16:1</t>
  </si>
  <si>
    <t>C21H44NO6P</t>
  </si>
  <si>
    <t>EtherLPE</t>
  </si>
  <si>
    <t>QYTPGOPLNFESQC-UHFFFAOYSA-N</t>
  </si>
  <si>
    <t>O=P(O)(OCCN)OCC(O)COC=CCCCCCCCCCCCCCC</t>
  </si>
  <si>
    <t>436.28378:380724 437.28845:83575 438.29312:29178</t>
  </si>
  <si>
    <t>51.29394:466 53.22416:485 55.56615:450 60.93139:442 61.98816:569 62.54439:481 65.23226:464 70.75919:460 78.71083:531 78.95888:43894 89.16888:533 90.56667:435 93.12068:507 97.98810:420 105.59592:475 112.98560:984 114.22755:450 118.85657:472 120.61773:432 120.93929:664 122.00126:1942 124.20010:450 129.64694:433 134.74167:462 137.00075:1158 140.01186:16519 141.76962:526 152.99597:5409 166.02756:803 167.07457:432 167.64636:471 179.87874:571 187.94205:1809 196.03825:16666 202.03651:456 211.20674:789 216.28763:509 226.60510:19958 231.93163:905 237.22267:1682 239.23831:17069 306.95862:479 357.38922:498 368.58646:537 375.23181:1595 421.64563:469 436.28448:22936</t>
  </si>
  <si>
    <t>LPA 18:0</t>
  </si>
  <si>
    <t>C21H43O7P</t>
  </si>
  <si>
    <t>LAYXSTYJRSVXIH-UHFFFAOYSA-N</t>
  </si>
  <si>
    <t>O=C(OCC(O)COP(=O)(O)O)CCCCCCCCCCCCCCCCC</t>
  </si>
  <si>
    <t>437.26755:92072 438.27222:19752 439.27688:2842</t>
  </si>
  <si>
    <t>50.41084:682 53.31857:848 53.64246:733 58.23088:788 58.74507:755 60.77100:721 65.68365:739 68.77943:805 73.67133:944 75.28822:771 76.94926:757 78.95890:24585 78.96029:1273 80.65415:772 81.01445:914 81.31609:748 85.53365:781 96.96967:2041 103.07914:718 105.25378:729 109.98563:712 120.93933:5020 122.98435:1161 124.26809:825 125.20690:800 135.33296:884 144.81886:705 152.99596:46575 155.71776:905 160.38736:649 161.27171:790 161.35356:754 161.36044:1034 162.52464:890 164.88960:993 164.92944:2333 171.00685:1247 173.39343:789 198.86615:679 226.60280:14469 226.61076:9062 228.86679:874 229.36449:674 239.01364:799 245.00288:753 252.99025:1217 263.01248:842 272.99564:1398 282.61435:709 285.42499:998 304.21246:750 304.32678:757 364.41687:925 387.11533:814 393.21979:2684 437.21008:4861</t>
  </si>
  <si>
    <t>LPE O-16:0</t>
  </si>
  <si>
    <t>C21H46NO6P</t>
  </si>
  <si>
    <t>OKXWJISJKQKUTN-UHFFFAOYSA-N</t>
  </si>
  <si>
    <t>O=P(O)(OCCN)OCC(O)COCCCCCCCCCCCCCCCC</t>
  </si>
  <si>
    <t>438.29953:50925 439.30420:11302 440.30887:1833</t>
  </si>
  <si>
    <t>54.81894:703 55.85780:683 65.99561:724 68.82899:689 73.85472:911 74.73438:850 74.95504:704 77.54631:819 78.95888:20911 78.96027:1427 79.81281:690 91.21085:693 107.42007:700 109.64359:888 114.85820:815 116.22195:889 121.00115:701 134.43715:669 138.41145:673 139.39670:693 140.01184:9949 144.80127:671 149.18542:660 152.99602:3409 155.90764:688 161.49619:933 161.50566:841 161.57666:955 161.68616:722 183.35101:753 201.25632:646 202.15038:749 215.00557:827 222.27222:712 226.60507:25072 226.61157:1631 247.95905:773 311.81525:697 317.26035:833 323.79288:750 358.43448:900 368.71613:708 377.24670:3736 396.91000:1052 398.51053:824 438.30023:16816</t>
  </si>
  <si>
    <t>BA 24:1;O3;G</t>
  </si>
  <si>
    <t>C26H43NO5</t>
  </si>
  <si>
    <t>BileAcid</t>
  </si>
  <si>
    <t>GHCZAUBVMUEKKP-GYPHWSFCSA-N</t>
  </si>
  <si>
    <t>C[C@H](CCC(=O)NCC(=O)O)[C@H]1CC[C@@H]2[C@@]1(CC[C@H]3[C@H]2[C@@H](C[C@H]4[C@@]3(CC[C@H](C4)O)C)O)C</t>
  </si>
  <si>
    <t>448.30737:1372120 449.31204:398089 450.31671:65058</t>
  </si>
  <si>
    <t>53.05101:759 59.20781:708 59.79752:782 60.48612:767 61.43473:786 61.98821:771 64.48592:823 70.76598:689 71.33202:750 73.37092:750 73.72655:769 74.02457:157129 77.08196:799 79.41248:702 79.98814:776 84.04526:1227 85.90403:863 106.10934:751 108.78138:774 111.06470:696 114.02438:1305 114.42738:910 119.34341:719 121.74225:784 131.36580:674 139.67868:773 143.01808:778 149.61392:729 160.39922:841 160.43105:1184 160.56514:863 160.59323:729 160.62581:796 167.24284:692 171.78601:732 177.62718:760 182.54526:769 209.01315:764 209.07852:719 212.37766:763 226.59946:3282 226.60719:21340 253.54889:685 273.88879:737 283.75314:964 285.34882:802 288.71838:722 290.21341:1373 325.26968:814 330.24432:2148 341.85541:778 342.73895:761 384.29211:2731 386.30765:8722 404.31934:1548 448.30798:174671</t>
  </si>
  <si>
    <t>LPE 16:0</t>
  </si>
  <si>
    <t>C21H44NO7P</t>
  </si>
  <si>
    <t>LPE</t>
  </si>
  <si>
    <t>YVYMBNSKXOXSKW-UHFFFAOYSA-N</t>
  </si>
  <si>
    <t>O=C(OCC(O)COP(=O)(O)OCCN)CCCCCCCCCCCCCCC</t>
  </si>
  <si>
    <t>452.27817:1189281 453.28284:282413 454.28750:41641</t>
  </si>
  <si>
    <t>50.60286:413 53.82920:441 54.02043:435 71.87074:401 75.41481:498 78.19067:405 78.70609:461 78.95887:2266 80.40501:416 83.50769:440 96.01982:422 100.76068:521 106.95548:435 109.49069:420 112.79462:473 118.34077:406 118.58952:455 118.84071:406 140.01187:839 149.90755:494 150.91855:525 157.36739:508 157.52536:464 161.51367:471 161.51782:547 161.56302:559 161.60570:567 161.61710:645 161.64456:505 161.68266:830 161.69972:767 196.03847:588 216.16423:463 226.60512:17886 239.31967:519 255.23322:38906 259.33121:467 291.91678:519 360.95633:495 437.22012:442</t>
  </si>
  <si>
    <t>LPA 20:5</t>
  </si>
  <si>
    <t>C23H37O7P</t>
  </si>
  <si>
    <t>DKFJPTBTSHHMCQ-UHFFFAOYSA-N</t>
  </si>
  <si>
    <t>O=C(OCC(O)COP(=O)(O)O)CCCC=CCC=CCC=CCC=CCC=CCC</t>
  </si>
  <si>
    <t>N_Serum_8Xdil_400_600_R3</t>
  </si>
  <si>
    <t>455.22058:56453 456.22525:12251 457.22992:1524</t>
  </si>
  <si>
    <t>59.70842:734 72.74509:683 78.95889:15421 78.96021:1320 80.31151:752 88.84966:726 96.96001:1062 96.96956:1378 98.50550:887 101.01849:700 110.98437:3123 113.97891:915 120.38081:729 131.14445:733 138.42146:790 152.99596:32529 152.99973:1607 154.91895:894 154.97452:3590 162.72092:710 165.07494:794 166.25511:871 171.00662:1313 178.82475:960 195.11502:1281 200.50937:818 224.55855:713 226.60370:26126 232.84262:830 233.03008:686 236.50235:711 239.10463:925 271.80008:665 277.14474:841 278.67563:761 282.89651:754 290.98712:2184 335.59225:856 354.98239:897 366.99927:895 413.40567:755 454.20001:802 455.22098:862 455.34003:1434</t>
  </si>
  <si>
    <t>LPA 20:4</t>
  </si>
  <si>
    <t>C23H39O7P</t>
  </si>
  <si>
    <t>QYCYIZLSHFMZKV-UHFFFAOYSA-N</t>
  </si>
  <si>
    <t>O=C(OCC(O)COP(=O)(O)O)CCCCCCC=CCC=CCC=CCC=CCC</t>
  </si>
  <si>
    <t>457.23642:532269 458.24109:138418 459.24576:21765</t>
  </si>
  <si>
    <t>51.15021:504 52.58108:472 54.77927:438 69.87057:489 70.61794:461 78.56285:485 78.95889:45128 91.78554:458 96.96951:5882 100.74467:567 109.67397:566 120.66843:473 125.27899:621 132.30089:441 146.96132:1448 150.98033:1724 152.99596:106271 158.64241:477 161.47273:431 161.56232:873 162.89360:565 171.00652:4060 174.95622:1896 194.72336:449 226.59921:2145 226.60701:15046 247.30286:508 254.97966:529 270.77188:435 272.34424:515 273.33347:471 303.23300:804 318.18036:467 330.17383:567 391.62335:474 396.99072:519 457.23730:1024</t>
  </si>
  <si>
    <t>LPA 20:3</t>
  </si>
  <si>
    <t>C23H41O7P</t>
  </si>
  <si>
    <t>DMZXKNSNIJKINA-UHFFFAOYSA-N</t>
  </si>
  <si>
    <t>O=C(OCC(O)COP(=O)(O)O)CCCCCCCCCC=CCC=CCC=CCC</t>
  </si>
  <si>
    <t>459.25183:82841 460.25650:20925 461.26117:2305</t>
  </si>
  <si>
    <t>54.10658:694 55.08366:719 56.50114:692 59.48084:740 68.26351:655 76.20415:712 76.77755:770 78.95888:21033 78.96029:1118 87.83035:648 96.90993:788 96.96951:3493 97.06374:623 98.66818:816 109.67052:847 117.80824:725 132.56374:755 144.01144:800 150.98048:964 152.99593:45870 153.21161:821 156.89505:4788 164.00032:783 164.03448:869 164.03838:948 164.06976:1174 165.14256:1008 171.00661:1948 174.95650:2284 176.53241:775 183.07965:858 183.16597:872 188.11427:728 216.99342:941 226.60005:7622 226.60818:17712 229.43207:783 238.01530:717 246.99883:931 256.02509:797 261.24026:887 261.95432:830 277.27490:739 346.06900:715 399.07239:787 450.29056:863 459.17993:1033 459.19885:2096</t>
  </si>
  <si>
    <t>LPE O-18:2</t>
  </si>
  <si>
    <t>C23H46NO6P</t>
  </si>
  <si>
    <t>URGVIWXYPWWBQO-UHFFFAOYSA-N</t>
  </si>
  <si>
    <t>O=P(O)(OCCN)OCC(O)COC=CCCCCCCC=CCCCCCCCC</t>
  </si>
  <si>
    <t>462.29959:156077 463.30426:40522 464.30893:11696</t>
  </si>
  <si>
    <t>55.84013:424 59.80936:557 61.98823:891 62.24974:411 63.98588:411 64.53444:447 65.61141:423 67.43648:441 78.95891:21752 80.75537:481 87.11713:420 89.43825:424 90.29878:435 90.30061:466 91.21270:393 95.37383:473 95.92751:463 102.94871:888 117.50677:484 118.26968:433 118.99744:464 122.00134:1433 123.12812:514 134.33286:519 136.91005:577 137.00101:509 140.01192:8592 146.93881:640 152.99612:1125 160.60497:464 160.63806:481 160.66197:548 160.67165:633 160.72122:631 160.81409:629 174.95618:647 196.03824:7264 196.04288:567 206.50383:473 206.57697:500 212.82999:408 226.60513:15413 265.25418:4764 287.73639:448 309.57907:519 401.24728:915 462.30032:13341</t>
  </si>
  <si>
    <t>BA 24:1;O4;G</t>
  </si>
  <si>
    <t>C26H43NO6</t>
  </si>
  <si>
    <t>RFDAIACWWDREDC-FRVQLJSFSA-N</t>
  </si>
  <si>
    <t>C[C@H](CCC(=O)NCC(=O)O)[C@H]1CC[C@@H]2[C@@]1([C@H](C[C@H]3[C@H]2[C@@H](C[C@H]4[C@@]3(CC[C@H](C4)O)C)O)O)C</t>
  </si>
  <si>
    <t>464.30267:273866 465.30734:81318 466.31201:13322</t>
  </si>
  <si>
    <t>57.63323:504 61.98822:776 68.67854:456 69.03441:818 74.02457:85573 77.20006:447 78.33534:454 83.06401:574 88.05846:464 89.02436:1177 95.05024:1212 95.66540:587 101.15977:423 111.75323:426 115.02081:477 116.02019:431 116.98096:459 133.25766:413 134.15274:465 135.58752:533 144.35687:438 147.95770:1561 156.02805:583 159.71751:582 168.76552:500 178.92061:467 178.99420:535 179.54424:477 189.88803:506 191.94756:1060 203.01428:531 207.12787:471 226.60382:17256 233.18092:540 262.18176:511 308.62418:501 342.15240:535 346.23956:666 374.59442:546 382.27606:703 400.28690:3736 402.30228:6404 420.31433:846 460.13950:489 464.30289:122279</t>
  </si>
  <si>
    <t>LPE O-18:1</t>
  </si>
  <si>
    <t>C23H48NO6P</t>
  </si>
  <si>
    <t>KACDZDULGKPXHT-UHFFFAOYSA-N</t>
  </si>
  <si>
    <t>O=P(O)(OCCN)OCC(O)COC=CCCCCCCCCCCCCCCCC</t>
  </si>
  <si>
    <t>464.31534:354594 465.32001:88717 466.32467:11351</t>
  </si>
  <si>
    <t>50.07499:421 50.85856:502 54.68991:415 55.96755:484 61.98817:987 63.49411:493 65.35969:442 73.34569:423 78.95885:37848 101.93642:417 102.54800:456 102.93340:906 103.17306:510 116.31579:531 120.79959:532 122.00125:1428 125.72151:454 130.93970:1252 131.82838:458 135.25063:464 136.90968:877 137.00092:844 140.01183:18600 145.53343:484 146.92342:2408 151.63327:444 152.99590:1862 157.00095:508 163.84966:511 163.86461:687 163.91185:520 163.99780:696 164.01050:482 191.14145:453 192.34399:424 192.92873:817 196.03818:20950 210.83931:542 226.60257:13255 226.61044:3589 241.18083:583 265.25360:1497 267.26956:16449 306.83560:427 329.20584:495 331.45389:410 347.23752:472 365.81256:521 380.98682:545 403.26334:3003 455.72617:456 464.31561:30927</t>
  </si>
  <si>
    <t>ST 27:1;O;S</t>
  </si>
  <si>
    <t>C27H46O4S</t>
  </si>
  <si>
    <t>SSulfate</t>
  </si>
  <si>
    <t>BHYOQNUELFTYRT-UHFFFAOYSA-N</t>
  </si>
  <si>
    <t>O=S(=O)(O)OC1CC2=CCC3C(CCC4(C)C(CCC34)C(C)CCCC(C)C)C2(C)CC1</t>
  </si>
  <si>
    <t>465.30453:1097484 466.30920:342783 467.31387:43483</t>
  </si>
  <si>
    <t>50.39001:511 58.29227:442 60.11988:586 76.20418:452 76.99306:469 78.95882:563 89.00444:439 92.91985:953 92.99547:481 93.19067:463 95.48890:482 96.88544:463 96.95996:181945 102.93353:2262 112.98555:528 130.93965:3722 131.72025:544 136.90990:1319 146.92337:5102 147.92137:559 149.93700:1255 153.98470:471 161.39819:531 161.44524:492 161.45674:738 161.46162:438 161.46669:559 161.48314:491 161.51332:555 192.92900:2333 193.92690:1282 226.60332:15868 226.61113:1895 241.00841:659 252.99026:669 276.98987:738 278.63596:486 280.30743:589 285.03638:490 300.99136:1013 304.98581:454 320.99713:752 341.00327:544 382.34134:474 409.08084:501 421.37015:790 425.25082:499 426.25766:471 458.64206:457 465.30533:142177</t>
  </si>
  <si>
    <t>N_Serum_40Xdil_450_550</t>
  </si>
  <si>
    <t>465.30511:197652 466.30978:61002 467.31445:8439</t>
  </si>
  <si>
    <t>50.27600:543 50.52023:439 54.00904:431 56.06718:460 57.23723:445 60.74185:447 85.98589:442 87.87126:445 89.46453:485 92.91999:1158 96.96006:44051 102.93346:3051 112.98554:774 130.93987:2070 136.91000:1937 146.92352:4384 146.93880:804 160.08168:585 160.12790:657 160.14267:754 160.16225:582 163.82870:579 174.27017:539 180.89989:1039 192.92915:2044 205.94872:488 226.60065:877 226.60696:16203 252.98996:865 292.90259:425 320.44095:628 354.50424:457 356.97812:504 387.40958:479 465.30588:33195</t>
  </si>
  <si>
    <t>LPE 17:0</t>
  </si>
  <si>
    <t>C22H46NO7P</t>
  </si>
  <si>
    <t>RVNBVQKDPQVSOY-UHFFFAOYSA-N</t>
  </si>
  <si>
    <t>O=C(OCC(O)COP(=O)(O)OCCN)CCCCCCCCCCCCCCCC</t>
  </si>
  <si>
    <t>466.29440:35205 467.29907:7364 468.30374:873</t>
  </si>
  <si>
    <t>55.14967:725 62.53716:801 63.04466:736 67.02541:705 68.14066:695 69.47952:749 72.68984:734 78.10609:814 78.95892:2692 80.10935:760 84.14952:838 88.09914:697 88.39710:833 92.90662:708 93.94713:859 94.67227:796 126.80052:989 130.47704:656 130.50626:766 131.32416:891 136.91010:1191 140.01196:1003 140.64622:755 148.91895:837 149.93692:1580 150.04265:850 153.00259:793 162.61501:860 162.73801:1035 162.74211:755 175.76851:768 193.01479:812 196.03824:1845 226.59808:5403 226.60593:25701 237.87633:749 246.19252:822 264.63196:773 269.24893:22130 269.34286:843 337.62625:735 380.31189:833 393.45367:807 462.15475:763 466.36255:873</t>
  </si>
  <si>
    <t>LPE 18:3</t>
  </si>
  <si>
    <t>C23H42NO7P</t>
  </si>
  <si>
    <t>NTBBASCGALPTDC-UHFFFAOYSA-N</t>
  </si>
  <si>
    <t>O=C(OCC(O)COP(=O)(O)OCCN)CCCCCCCC=CCC=CCC=CCC</t>
  </si>
  <si>
    <t>474.26300:30570 475.26767:7104 476.27234:884</t>
  </si>
  <si>
    <t>50.91825:747 51.09976:854 54.26147:762 58.86533:700 59.81701:824 61.98816:964 64.26954:704 74.90455:706 75.76118:740 77.99568:730 79.92172:705 80.81976:882 90.41042:755 94.85069:654 102.23134:755 102.94870:1698 110.34358:773 111.91147:739 112.95486:716 128.87810:1390 130.17215:667 146.93866:2787 160.46233:920 160.46619:1090 186.23935:767 190.92924:1211 195.96542:756 196.03828:1774 220.43771:866 226.59776:3853 226.60559:23999 272.82523:769 277.21756:8984 327.19934:745 331.96606:754 365.77744:898 365.79105:790 419.35995:721 439.27072:799 443.68005:794 474.28738:1207</t>
  </si>
  <si>
    <t>LPE 18:2</t>
  </si>
  <si>
    <t>C23H44NO7P</t>
  </si>
  <si>
    <t>DBHKHNGBVGWQJE-UHFFFAOYSA-N</t>
  </si>
  <si>
    <t>O=C(OCC(O)COP(=O)(O)OCCN)CCCCCCCC=CCC=CCCCCC</t>
  </si>
  <si>
    <t>476.27829:569611 477.28296:146197 478.28763:23794</t>
  </si>
  <si>
    <t>53.54567:440 53.59582:561 69.17506:434 70.43782:522 75.99873:452 76.18306:466 78.95894:1278 79.88862:471 80.69099:446 90.75842:436 93.36613:449 102.93360:503 102.94867:2115 103.93121:652 105.28752:404 109.83834:444 118.91948:476 123.10770:524 140.01189:608 146.93861:4055 147.92136:808 149.93698:1336 150.65567:460 161.77185:482 163.82848:499 163.90187:529 167.50066:443 185.85251:474 190.92863:1390 193.92674:607 214.04886:1420 217.95064:501 226.59947:2968 226.60735:14983 275.99890:498 279.23325:35718 296.39267:533 301.82965:539 309.79965:507 347.83405:893 401.80933:1200 402.80869:624 468.92093:589 476.27933:656</t>
  </si>
  <si>
    <t>476.27881:175936 477.28348:43573 478.28814:6578</t>
  </si>
  <si>
    <t>51.01249:727 58.91894:703 60.47903:695 61.86053:869 61.98821:777 78.95892:6736 78.99745:723 81.17915:727 102.94881:7108 103.93135:1692 114.26624:669 118.92533:706 132.92412:863 140.01201:2782 141.85538:842 146.92380:984 146.93877:10427 147.92148:3460 149.93697:3804 152.67619:868 152.99623:1261 162.46341:856 172.22592:813 172.96881:993 190.92874:2656 193.92715:1989 196.03831:6498 214.04892:1867 225.36949:898 226.60072:1787 226.60823:26752 248.81296:801 279.23343:60408 337.56250:839 347.83392:1229 401.80936:1814 411.44360:750 476.27921:4729</t>
  </si>
  <si>
    <t>LPE 18:1</t>
  </si>
  <si>
    <t>C23H46NO7P</t>
  </si>
  <si>
    <t>PYVRVRFVLRNJLY-UHFFFAOYSA-N</t>
  </si>
  <si>
    <t>O=C(OCC(O)COP(=O)(O)OCCN)CCCCCCCC=CCCCCCCCC</t>
  </si>
  <si>
    <t>N_Serum_4Xdil_400_600_R4</t>
  </si>
  <si>
    <t>478.29401:1609723 479.29867:418649 480.30334:85888</t>
  </si>
  <si>
    <t>51.88802:474 54.85874:409 57.45950:439 58.93305:569 65.96709:493 68.25053:457 69.32320:461 71.26591:454 77.11646:526 78.95887:2760 81.56671:505 84.70472:512 85.13798:526 87.08250:502 89.95429:452 96.40150:496 100.88871:415 102.76785:503 116.40504:482 120.66660:494 124.49400:474 140.01193:606 142.99884:494 155.91826:468 158.06413:437 160.60361:498 160.63307:774 160.71053:528 160.71597:483 160.77269:398 160.78947:572 166.49133:432 190.83920:403 192.01733:473 195.21082:533 196.03819:631 214.04892:1783 226.60365:16435 226.61143:2051 278.11789:440 281.24887:55732 294.02951:450 297.49612:403 404.66522:493 478.29578:1051 482.19974:472</t>
  </si>
  <si>
    <t>478.29446:139211 479.29913:37610 480.30380:12267</t>
  </si>
  <si>
    <t>50.76617:531 50.98055:500 54.53324:584 60.67143:499 61.75022:455 61.98831:592 73.14194:432 74.25591:496 78.95892:8336 84.11627:473 91.93145:566 92.50224:448 93.94714:557 97.66919:471 102.93361:1350 102.94882:862 103.93138:3278 105.94701:544 109.44901:428 119.92636:661 122.00093:511 122.25648:460 123.53345:461 125.95715:528 130.92879:572 130.93977:1335 131.93745:672 136.90988:892 139.90796:631 140.01198:4558 141.05013:494 146.92351:1859 146.93871:1287 147.92139:5611 148.91908:683 149.93706:5429 152.99582:1172 160.31522:480 161.07994:708 161.09856:445 161.10574:494 161.11122:492 161.11548:591 161.16994:559 161.86713:528 163.57611:520 163.88272:671 164.88043:597 172.44249:458 177.86172:723 181.92065:567 182.00923:502 192.92917:743 193.92693:3241 196.03828:9090 200.75894:561 207.87212:1096 208.87051:905 214.04884:1369 223.86806:619 226.60356:11573 226.61162:6505 235.17442:447 258.02820:494 281.24908:87413 370.70938:477 377.04037:435 478.29550:4841</t>
  </si>
  <si>
    <t>ST 28:1;O;S</t>
  </si>
  <si>
    <t>C28H48O4S</t>
  </si>
  <si>
    <t>NNLNVKVMYKIRMN-UHFFFAOYSA-N</t>
  </si>
  <si>
    <t>O=S(=O)(O)OC1CC2=CCC3C(CCC4(C)C(CCC34)C(C)CCC(C)C(C)C)C2(C)CC1</t>
  </si>
  <si>
    <t>479.32059:54884 480.32525:17202 481.32992:2122</t>
  </si>
  <si>
    <t>50.63221:497 51.94049:454 55.44906:452 56.29248:466 58.56417:427 61.98822:787 63.50993:495 66.91027:423 69.69513:444 80.33160:453 86.37595:457 87.53496:460 87.72380:501 92.39275:532 93.38960:458 93.94695:694 96.96001:12106 97.59534:434 102.93356:930 102.94880:978 103.93132:1238 104.92891:601 128.97499:586 130.93985:680 131.93764:556 132.93517:540 138.47708:451 142.79813:472 144.84003:472 146.93861:876 147.92145:3473 149.93695:2430 162.85860:479 167.43517:426 173.31262:541 182.55228:450 190.92848:848 193.92691:983 194.98119:501 208.87024:718 223.72762:517 225.86374:565 225.87027:565 226.60165:13564 226.60947:2202 295.87231:445 315.00735:526 338.28552:496 409.96146:472 425.97818:427 479.15820:936 479.32120:19228 479.37582:479</t>
  </si>
  <si>
    <t>LPE 18:0</t>
  </si>
  <si>
    <t>C23H48NO7P</t>
  </si>
  <si>
    <t>BBYWOYAFBUOUFP-UHFFFAOYSA-N</t>
  </si>
  <si>
    <t>O=C(OCC(O)COP(=O)(O)OCCN)CCCCCCCCCCCCCCCCC</t>
  </si>
  <si>
    <t>480.30945:295723 481.31412:60939 482.31878:12079</t>
  </si>
  <si>
    <t>53.66869:440 56.04847:551 56.83082:431 57.93055:414 58.05953:471 58.96990:442 60.28316:426 61.98823:1758 65.18669:465 65.54722:462 68.25438:446 71.26382:463 74.15114:485 75.18679:465 77.14707:487 78.17162:419 78.95886:2496 82.99277:520 86.87377:465 87.22033:428 87.23207:433 91.05390:457 101.15425:459 104.42407:545 105.00756:424 113.89764:443 124.04724:449 132.93503:525 136.70953:415 140.01199:932 146.92345:890 147.92116:796 148.91891:632 149.93716:1079 153.31743:447 156.78262:439 160.12753:499 160.26430:566 160.30165:675 160.30537:716 160.31010:495 165.53552:438 175.45132:467 193.92776:476 196.03821:686 201.84483:447 209.86772:547 213.86258:414 214.04897:1223 224.06981:837 226.60092:3200 226.60892:11826 241.32150:498 251.30289:443 255.23314:4037 283.26456:71939 287.88885:487 308.94025:450 348.39777:486 352.68286:529 364.19427:511 411.09500:449 427.79147:473 431.76175:498 468.91519:605 480.31079:1326</t>
  </si>
  <si>
    <t>480.31006:310684 481.31473:79759 482.31939:12289</t>
  </si>
  <si>
    <t>55.55722:491 58.67645:431 59.91751:418 61.98823:1495 64.15879:388 69.19861:422 69.97156:540 78.54548:442 78.95895:7417 78.96037:876 101.34646:489 101.41752:485 102.13589:479 103.93150:752 105.94713:488 109.50881:456 109.86961:516 114.31090:486 120.15816:462 128.72699:436 131.09189:460 132.93538:613 136.48520:486 140.01199:3807 147.92142:1338 149.93716:1438 152.99586:496 153.82436:462 161.28841:478 161.30109:653 161.34599:577 196.03841:5710 214.04889:1383 226.60515:14580 226.61296:1912 261.92642:572 283.26480:68875 326.21817:498 330.98441:514 331.24783:497 398.51395:470 413.96530:543 480.31119:4976</t>
  </si>
  <si>
    <t>LPA 22:6</t>
  </si>
  <si>
    <t>C25H39O7P</t>
  </si>
  <si>
    <t>UWHSPTWBPTXYMF-UHFFFAOYSA-N</t>
  </si>
  <si>
    <t>O=C(OCC(O)COP(=O)(O)O)CCC=CCC=CCC=CCC=CCC=CCC=CCC</t>
  </si>
  <si>
    <t>481.23676:81558 482.24142:23420 483.24609:2599</t>
  </si>
  <si>
    <t>55.74741:676 58.55378:1001 59.21618:709 63.11251:746 68.46268:760 76.01769:728 77.75968:730 78.27529:929 78.95889:29394 78.96030:1449 86.81113:682 95.94395:831 96.96952:2647 100.65978:847 100.89123:788 102.93345:1666 114.31482:746 116.38097:792 128.92880:1094 142.27931:753 146.92374:1356 149.38036:757 152.99596:69428 158.00555:743 160.43626:1065 160.53499:1030 160.56317:1205 160.60413:829 160.61775:1128 171.00658:2119 222.42448:747 226.60004:7103 226.60803:18063 246.76474:824 270.54706:803 307.26483:1270 436.53815:1041 441.01599:917 463.34421:880 481.35455:2391</t>
  </si>
  <si>
    <t>LPE O-20:1</t>
  </si>
  <si>
    <t>C25H52NO6P</t>
  </si>
  <si>
    <t>GBHFCJJMZAWCCH-UHFFFAOYSA-N</t>
  </si>
  <si>
    <t>O=P(O)(OCCN)OCC(O)COC=CCCCCCCCCCCCCCCCCCC</t>
  </si>
  <si>
    <t>492.34653:24226 493.35119:7090 494.35586:1106</t>
  </si>
  <si>
    <t>52.82845:442 58.99173:446 59.68542:480 76.76389:435 78.95884:7473 90.72070:450 94.87186:424 97.06573:512 112.98559:649 113.92374:504 115.88562:460 138.55902:501 140.01178:3622 153.77223:634 156.43376:450 162.57730:581 162.61066:578 162.67932:529 162.75362:460 165.79764:415 173.00081:459 175.08710:550 189.65259:497 196.03821:5095 222.87369:499 226.59903:6640 226.60695:11092 241.18118:1793 242.17694:462 242.18434:915 249.18620:981 267.19638:630 268.19998:663 273.15533:468 295.30081:2671 297.32123:480 307.31985:443 419.74832:568 431.29590:542 492.34689:7736 492.37878:4476 494.75497:557</t>
  </si>
  <si>
    <t>ST 29:1;O;S</t>
  </si>
  <si>
    <t>C29H50O4S</t>
  </si>
  <si>
    <t>IPVNPUHVCZJVOI-UHFFFAOYSA-N</t>
  </si>
  <si>
    <t>O=S(=O)(O)OC1CC2=CCC3C(CCC4(C)C(CCC34)C(C)CCC(CC)C(C)C)C2(C)CC1</t>
  </si>
  <si>
    <t>493.33630:69214 494.34097:22652 495.34564:3159</t>
  </si>
  <si>
    <t>55.45999:442 57.23251:461 61.98823:840 68.10600:450 71.39238:514 75.56549:589 78.95889:1178 85.61623:499 92.97820:494 95.32251:439 95.95204:722 96.96000:9739 100.93365:998 101.50696:488 113.67797:473 134.33400:534 136.61667:470 146.93889:655 149.93697:800 150.53212:489 160.27716:560 160.37965:705 160.38354:517 163.88240:516 181.75218:524 185.48619:451 196.03801:972 226.60092:7696 226.60896:8585 233.88361:440 234.49117:453 241.66377:410 296.30585:470 348.99249:540 353.68600:525 356.87717:542 359.25754:1813 363.07660:462 372.99194:534 375.25232:2232 403.24689:1513 405.97269:420 413.00540:795 415.47418:493 419.24182:1856 430.10880:492 447.23645:1731 465.24780:5023 493.33667:61940 493.38544:1553</t>
  </si>
  <si>
    <t>LPE 20:5</t>
  </si>
  <si>
    <t>C25H42NO7P</t>
  </si>
  <si>
    <t>KCWGBXXAJHVZNN-UHFFFAOYSA-N</t>
  </si>
  <si>
    <t>O=C(OCC(O)COP(=O)(O)OCCN)CCCC=CCC=CCC=CCC=CCC=CCC</t>
  </si>
  <si>
    <t>498.26334:22983 499.26800:5358 500.27267:1251</t>
  </si>
  <si>
    <t>52.52029:668 52.59863:686 60.91394:761 61.98833:893 64.12296:854 69.04559:704 70.48368:792 78.95895:1488 97.23462:751 97.54556:716 100.93365:1023 119.81983:942 128.92859:847 140.01199:992 161.65251:937 162.71848:671 189.84882:803 192.44434:721 196.03825:1476 217.41907:736 226.59993:15697 226.60789:12924 257.22757:801 261.55704:830 264.55566:724 294.27841:758 297.31357:745 301.21790:2558 332.92722:897 356.86365:838 418.49445:726 420.78110:769 423.63196:772 435.31445:755 494.28918:760</t>
  </si>
  <si>
    <t>LPE 20:4</t>
  </si>
  <si>
    <t>C25H44NO7P</t>
  </si>
  <si>
    <t>JPNPIRVRGLGTRE-UHFFFAOYSA-N</t>
  </si>
  <si>
    <t>O=C(OCC(O)COP(=O)(O)OCCN)CCCCCCC=CCC=CCC=CCC=CCC</t>
  </si>
  <si>
    <t>500.27878:101740 501.28345:26716 502.28811:4536</t>
  </si>
  <si>
    <t>59.01383:846 60.34194:750 64.93779:872 68.11378:819 77.00824:790 78.95896:6346 84.19822:720 112.25684:754 117.09596:805 129.97018:785 133.92470:790 134.03165:819 137.17479:786 140.01178:3935 160.84235:745 161.04956:710 161.06313:1131 161.06897:1228 161.07516:723 161.12038:1115 161.16893:990 161.18576:773 166.38409:742 177.83151:871 196.03833:7609 214.04900:1667 221.13670:765 226.60165:6327 226.60962:20434 259.24347:3182 303.23364:25700 383.76920:799 478.74060:792 500.28018:3398</t>
  </si>
  <si>
    <t>500.27823:406648 501.28290:103222 502.28756:21060</t>
  </si>
  <si>
    <t>59.01369:1087 61.98818:944 66.68726:737 66.72190:769 73.18397:754 73.42948:708 75.85720:692 76.93430:731 77.97393:667 78.95892:4142 90.47985:768 91.39128:801 103.24867:744 123.10304:809 135.43738:759 135.82442:793 140.01189:3037 152.99583:1069 154.17354:734 160.48888:885 160.61792:818 160.62900:857 160.64426:1511 160.64888:901 171.57654:698 172.69841:796 196.03838:3931 214.04886:1795 226.60513:27337 226.61613:1005 259.24380:1361 303.23340:28532 364.64722:804 383.36667:1063 393.17725:712 444.04816:855 500.28046:1486</t>
  </si>
  <si>
    <t>LPE 20:3</t>
  </si>
  <si>
    <t>C25H46NO7P</t>
  </si>
  <si>
    <t>UEONHLLDVDPRRN-UHFFFAOYSA-N</t>
  </si>
  <si>
    <t>O=C(OCC(O)COP(=O)(O)OCCN)CCCCCCCCCC=CCC=CCC=CCC</t>
  </si>
  <si>
    <t>502.29416:63300 503.29883:22571 504.30349:0</t>
  </si>
  <si>
    <t>52.43081:974 56.56087:791 70.93198:886 74.52216:862 75.86975:782 78.17696:880 78.95893:3457 112.89244:853 115.55119:789 116.26624:687 117.92223:688 140.01195:2866 140.84065:718 142.18558:679 150.23422:807 161.85062:752 161.87743:820 161.88240:754 172.99446:789 196.03827:3120 226.60257:23064 226.61053:6018 271.16354:847 305.24908:22790 308.38046:738 318.25027:728 407.55643:795 451.32492:848 451.61389:722 462.06241:735 474.15866:739 502.29559:2255</t>
  </si>
  <si>
    <t>LPG 18:1</t>
  </si>
  <si>
    <t>C24H47O9P</t>
  </si>
  <si>
    <t>LPG</t>
  </si>
  <si>
    <t>FQQQKGAFQIIGLQ-UHFFFAOYSA-N</t>
  </si>
  <si>
    <t>O=C(OCC(O)COP(=O)(O)OCC(O)CO)CCCCCCCC=CCCCCCCCC</t>
  </si>
  <si>
    <t>509.28842:24072 510.29309:6237 511.29776:0</t>
  </si>
  <si>
    <t>50.88005:787 52.91344:702 55.28659:692 55.55932:788 56.47594:761 58.01800:724 59.71651:740 60.18682:738 60.39850:640 64.39204:871 67.99413:999 74.69640:847 91.89812:821 97.60014:783 105.45776:818 152.99593:2378 160.39093:805 161.36606:847 161.37067:796 161.41780:805 161.55070:698 172.87650:696 176.37695:748 188.05109:712 196.89552:820 202.09229:799 215.41701:789 224.45915:790 226.60039:6742 226.60837:17914 228.66167:773 230.73010:856 281.24866:11411 316.52969:795 317.06134:765 373.23782:974 408.07764:805 509.28827:1028 509.38675:793</t>
  </si>
  <si>
    <t>LPC 14:0</t>
  </si>
  <si>
    <t>VXUOFDJKYGDUJI-UHFFFAOYSA-N</t>
  </si>
  <si>
    <t>O=C(OCC(O)COP(=O)([O-])OCC[N+](C)(C)C)CCCCCCCCCCCCC</t>
  </si>
  <si>
    <t>512.29980:893234 513.30447:236041 514.30914:40468</t>
  </si>
  <si>
    <t>50.11634:502 50.39546:445 50.45807:461 50.52128:482 51.37770:428 53.14060:480 54.45089:477 54.91558:491 57.21629:446 60.94265:462 61.98819:1610 68.20699:509 70.14821:482 71.27984:568 76.89469:545 77.40913:455 78.95889:2549 87.05485:413 89.27758:476 91.48000:466 99.51305:474 100.93352:1048 109.33337:426 114.43802:482 116.32108:465 137.58504:444 139.09967:448 139.98878:517 141.86838:576 143.99728:504 145.22478:508 152.99590:1424 158.89101:649 161.55608:687 161.58179:541 161.63693:530 168.04340:1299 174.95609:833 188.91121:453 191.71997:538 221.43044:467 221.86668:489 224.06950:4540 226.60194:10721 226.60995:5322 227.20187:99808 235.89484:642 242.08018:1956 254.37233:521 260.89465:476 282.83429:498 311.47870:503 317.73605:501 332.02448:563 452.27933:15802 503.77747:495 511.96362:542</t>
  </si>
  <si>
    <t>LPE 22:6</t>
  </si>
  <si>
    <t>C27H44NO7P</t>
  </si>
  <si>
    <t>XEVRBOQZSXWGQO-UHFFFAOYSA-N</t>
  </si>
  <si>
    <t>O=C(OCC(O)COP(=O)(O)OCCN)CCC=CCC=CCC=CCC=CCC=CCC=CCC</t>
  </si>
  <si>
    <t>524.27844:342393 525.28311:96793 526.28778:15549</t>
  </si>
  <si>
    <t>50.62684:875 53.33447:835 57.93042:820 59.01369:3747 60.53378:709 62.58138:736 67.32640:638 67.49417:693 68.36536:673 70.99953:714 78.95886:7726 97.13285:809 117.07096:840 136.37511:755 138.95522:781 140.01186:5290 150.89651:804 152.99603:1766 160.54341:889 160.59706:886 160.70900:930 163.95949:737 174.95648:1010 181.65866:815 195.50624:691 196.03818:10743 198.68304:754 201.69656:735 214.04884:4330 214.97157:959 226.60060:11450 226.60864:16844 229.19650:2599 235.15517:749 239.20193:1622 248.93817:714 266.93707:779 268.79117:902 271.83829:855 283.24341:9098 326.86795:722 327.23358:20856 366.77951:833 431.34177:981 524.27979:5579</t>
  </si>
  <si>
    <t>LPC 15:0</t>
  </si>
  <si>
    <t>RJZVWDTYEWCUAR-UHFFFAOYSA-N</t>
  </si>
  <si>
    <t>O=C(OCC(O)COP(=O)([O-])OCC[N+](C)(C)C)CCCCCCCCCCCCCC</t>
  </si>
  <si>
    <t>N_Serum_4Xdil_400_600_R5</t>
  </si>
  <si>
    <t>526.31494:1507511 527.31961:401642 528.32428:71595</t>
  </si>
  <si>
    <t>57.62350:580 60.34417:675 61.57557:593 61.98823:1633 62.80734:608 76.48074:636 78.95890:35409 81.25166:698 81.96864:677 94.38700:708 96.15942:707 96.96964:1052 98.06918:589 106.74316:634 106.85600:678 109.01822:636 112.98619:756 115.53389:588 117.45667:694 140.01190:1982 140.80473:594 141.51677:629 152.99593:12754 154.39064:658 161.09807:799 161.12952:1343 161.20734:1380 161.23798:679 168.04326:11463 174.95625:681 193.62317:673 196.03828:4144 214.04875:756 224.06229:1510 224.06955:53888 226.60606:19726 241.21750:633982 242.08002:8362 242.22047:1200 243.61220:615 252.27866:693 285.25958:1451 329.24899:17882 377.21005:701 422.39395:750 446.70087:749 466.29489:200212 504.50891:721 526.29486:2920</t>
  </si>
  <si>
    <t>526.31512:713365 527.31979:191871 528.32446:33639</t>
  </si>
  <si>
    <t>50.74914:506 54.27192:591 57.84554:448 58.03042:564 61.98817:1257 66.08406:498 78.95887:18747 82.19672:469 86.58019:484 88.48661:464 93.70678:517 98.20925:496 101.86367:572 109.00049:493 109.15706:524 112.98550:983 114.82949:500 129.04584:476 132.43587:429 135.90607:487 139.71277:568 139.78455:510 140.01180:1783 150.73317:463 151.02199:560 152.99591:9544 155.75105:526 162.43710:591 162.50069:515 162.50757:663 164.61478:481 168.04320:8025 196.03839:2899 197.05771:522 200.83804:490 214.84227:565 224.06947:35912 226.60307:15010 226.61111:7523 241.21742:377299 242.07993:7740 244.33833:618 285.25858:691 286.40515:560 291.89777:624 329.24899:11958 374.49905:500 377.20978:734 412.66782:646 466.29480:116573 526.29572:1732</t>
  </si>
  <si>
    <t>LPC O-16:0</t>
  </si>
  <si>
    <t>C24H52NO6P</t>
  </si>
  <si>
    <t>EtherLPC</t>
  </si>
  <si>
    <t>RKKJZVVEVRCBJA-UHFFFAOYSA-N</t>
  </si>
  <si>
    <t>O=P([O-])(OCC[N+](C)(C)C)OCC(OCCCCCCCCCCCCCCCC)CO</t>
  </si>
  <si>
    <t>526.35199:168542 527.35666:49118 528.36133:7375</t>
  </si>
  <si>
    <t>50.39278:480 50.92535:526 51.82118:486 61.98829:643 78.95747:1032 78.95893:17910 83.94730:568 87.88361:446 88.33241:489 89.24527:428 96.96974:534 97.03745:457 100.23726:508 100.51904:484 100.93365:770 110.24540:500 120.93946:651 127.33548:555 128.54488:467 128.92276:539 160.03964:526 160.06427:603 160.13628:531 160.15530:544 160.19618:540 161.14011:434 168.04344:8545 174.95653:1419 175.16145:445 179.59129:455 211.22694:526 221.50211:482 226.60175:3900 226.60968:12559 231.10942:570 257.18985:545 296.80493:488 344.16144:470 377.24704:6082 395.25882:743 466.33182:54431 468.94781:495</t>
  </si>
  <si>
    <t>526.35199:839201 527.35666:242271 528.36133:42969</t>
  </si>
  <si>
    <t>53.55811:457 55.57136:457 61.98813:588 64.53812:491 67.19311:462 74.33179:495 77.73116:532 78.95887:71265 80.96310:559 82.86182:546 88.18867:493 90.25781:514 96.96946:1877 97.10017:465 102.39104:491 113.89375:442 151.01497:465 152.99590:1193 158.04456:550 160.56451:653 160.61092:499 160.62418:614 160.65529:728 160.66740:696 160.70039:470 160.70464:472 160.74562:669 168.04326:30123 174.95644:537 212.90228:513 217.57010:527 224.06966:2903 225.07297:1300 226.07382:1186 226.60510:22315 239.23810:1298 241.21826:551 241.24483:844 360.54700:598 377.24707:24237 392.16284:586 395.25784:3568 403.30048:499 420.63867:532 464.31607:1124 465.31964:1639 466.33154:197874 467.33481:680 480.24780:888</t>
  </si>
  <si>
    <t>LPE 22:4</t>
  </si>
  <si>
    <t>C27H48NO7P</t>
  </si>
  <si>
    <t>RSVFMXVZJZRSQQ-UHFFFAOYSA-N</t>
  </si>
  <si>
    <t>O=C(OCC(O)COP(=O)(O)OCCN)CCCCCCCCC=CCC=CCC=CCC=CCC</t>
  </si>
  <si>
    <t>528.31018:25851 529.31485:6486 530.31952:0</t>
  </si>
  <si>
    <t>51.01578:697 51.22012:860 55.07049:677 55.28257:719 58.76795:768 61.98825:999 69.54703:846 78.95889:928 84.61240:816 88.07473:821 112.98561:1026 136.21216:752 151.53569:950 160.68283:945 160.71802:934 160.73232:757 160.91295:852 166.40869:868 177.47565:857 189.53870:764 196.03284:860 196.03821:1984 203.19278:808 213.34901:798 219.34567:882 226.59991:16471 226.60789:12969 241.50113:811 247.84509:744 262.21066:717 288.61615:821 296.27106:860 328.20102:783 331.26477:7890 376.60489:756 458.16098:839 468.37949:1035 522.23816:800 528.31158:1794 530.60406:761</t>
  </si>
  <si>
    <t>Cer 34:1;O2|Cer 18:1;O2/16:0</t>
  </si>
  <si>
    <t>C34H67NO3</t>
  </si>
  <si>
    <t>YDNKGFDKKRUKPY-UHFFFAOYSA-N</t>
  </si>
  <si>
    <t>O=C(NC(CO)C(O)C=CCCCCCCCCCCCCC)CCCCCCCCCCCCCCC</t>
  </si>
  <si>
    <t>536.50476:32285 537.50943:12427 538.51410:2791</t>
  </si>
  <si>
    <t>50.77763:764 56.88528:717 58.07100:802 58.41227:684 59.04453:652 60.83614:731 62.86719:733 64.24802:711 65.65408:843 70.12210:748 86.29162:864 86.39858:797 88.87475:916 102.98598:750 106.99339:763 124.56823:776 124.75515:900 153.31494:745 160.61415:786 160.80000:969 160.80702:775 160.81221:1254 222.70538:716 226.60147:14124 226.60944:12816 237.22269:10730 254.24886:3635 255.23331:1166 263.23853:3017 280.26498:12839 296.25995:2424 308.29605:957 352.98294:1328 380.65939:814 385.43439:705 488.32812:790 488.48450:1922 504.48013:1444 506.49557:2630 536.50537:7093</t>
  </si>
  <si>
    <t>LPC 16:1</t>
  </si>
  <si>
    <t>C24H48NO7P</t>
  </si>
  <si>
    <t>LFUDDCMNKWEORN-UHFFFAOYSA-N</t>
  </si>
  <si>
    <t>O=C(OCC(O)COP(=O)([O-])OCC[N+](C)(C)C)CCCCCCCC=CCCCCCC</t>
  </si>
  <si>
    <t>538.31549:239293 539.32016:66051 540.32483:11431</t>
  </si>
  <si>
    <t>59.38848:456 61.98827:1244 62.11880:499 64.74438:485 67.45515:483 67.99557:438 78.82740:616 78.95893:3906 81.66489:429 88.76654:467 88.82206:546 96.40636:454 97.69226:499 97.85394:475 114.60909:469 117.22538:400 118.86063:446 130.69540:432 140.15617:483 146.96153:561 152.99608:1239 162.27161:686 162.27942:449 162.29103:607 162.32739:469 162.33553:754 162.33958:560 162.34622:531 168.04349:1313 174.95638:1778 176.13751:639 177.43459:443 197.91997:481 224.06975:5818 226.60350:10419 226.61153:5991 242.08037:1632 253.21774:78921 254.32939:468 258.35315:461 315.31027:596 355.90604:466 357.51718:524 443.60867:461 452.27933:561 478.29538:22422</t>
  </si>
  <si>
    <t>538.31525:1465306 539.31991:405196 540.32458:79970</t>
  </si>
  <si>
    <t>51.43376:788 53.73230:766 55.51379:890 59.68803:826 61.98824:1284 66.20296:836 67.55413:700 72.29649:797 72.57829:810 75.55931:794 78.95890:1404 83.93707:806 84.57404:782 87.84145:834 88.72215:775 90.57945:888 96.16145:810 105.60206:754 106.69544:775 142.76010:814 159.05507:807 160.82144:780 160.84161:984 160.88461:1095 160.88889:1045 160.90891:950 160.93170:1061 160.93570:1053 161.02496:1060 165.92661:898 168.04337:2511 174.95633:777 180.96956:762 184.73859:782 194.90321:745 195.35608:719 198.00900:681 212.41203:770 212.43723:978 224.06932:1920 226.60045:8630 226.60843:14940 242.08034:1613 253.21765:107766 274.59586:775 322.50107:853 432.11209:718 475.20401:783 478.29510:17010 521.86139:890</t>
  </si>
  <si>
    <t>LPC 16:0</t>
  </si>
  <si>
    <t>C24H50NO7P</t>
  </si>
  <si>
    <t>ASWBNKHCZGQVJV-UHFFFAOYSA-N</t>
  </si>
  <si>
    <t>O=C(OCC(O)COP(=O)([O-])OCC[N+](C)(C)C)CCCCCCCCCCCCCCC</t>
  </si>
  <si>
    <t>540.33099:19250530 541.33566:5429890 542.34033:1062618</t>
  </si>
  <si>
    <t>50.59927:451 55.50078:503 61.98822:540 63.10224:560 67.82222:546 74.02716:468 78.06269:569 78.95891:5203 82.42608:589 102.94891:813 106.76196:625 111.34844:523 112.98560:777 135.58832:522 146.25699:644 146.93889:1644 146.96141:673 152.99594:3503 155.90814:521 161.09193:576 161.10658:569 161.12585:578 161.13818:908 161.17023:745 168.04346:4307 174.95638:1656 190.92863:1377 195.85712:514 224.06975:3813 226.60098:2220 226.60881:16182 230.75328:556 242.08034:7389 247.59711:516 255.23337:435057 279.44666:520 280.37271:510 353.31363:548 377.09344:521 449.11017:489 462.68100:567 468.96506:550 480.31104:65898</t>
  </si>
  <si>
    <t>540.33069:84546104 541.33536:24083692 542.34002:4591484</t>
  </si>
  <si>
    <t>50.86975:761 54.04016:821 61.98820:851 68.34802:1037 71.73048:737 75.74747:770 78.95890:34614 82.89317:750 90.24757:773 92.25266:852 107.64091:803 122.29840:748 146.93860:1000 152.99597:16551 160.57451:812 161.62762:874 161.63164:748 161.80406:1126 161.81786:1238 161.82785:909 161.86282:839 168.04330:14280 168.83829:761 171.00682:773 185.50609:754 190.73846:683 200.95186:773 224.06958:70040 226.59891:2750 226.60657:32478 242.08011:14005 255.23326:748022 256.23654:1247 258.35611:864 260.33014:882 292.72507:702 315.63901:704 322.63959:778 330.62054:747 367.87668:795 391.22672:1223 396.03796:804 480.31079:282058 540.37354:879</t>
  </si>
  <si>
    <t>LPC O-18:2</t>
  </si>
  <si>
    <t>C26H52NO6P</t>
  </si>
  <si>
    <t>QQNAQRKNFKTYBP-UHFFFAOYSA-N</t>
  </si>
  <si>
    <t>O=P([O-])(OCC[N+](C)(C)C)OCC(OCCCCCCCCC=CCC=CCCCCC)CO</t>
  </si>
  <si>
    <t>550.35022:25000 551.35489:9439 552.35956:0</t>
  </si>
  <si>
    <t>53.41945:722 53.55490:769 61.98822:933 63.68735:808 68.45634:777 69.13149:773 70.02147:655 70.86481:783 78.95880:3665 81.67784:681 96.11196:926 102.27116:745 104.85497:728 118.09298:817 120.61292:758 129.31537:750 132.66324:730 136.94496:812 138.76369:770 146.37668:709 149.57996:787 152.68210:775 155.01547:750 160.59247:1199 160.59793:806 160.63927:781 160.65704:864 165.75847:969 184.99179:796 193.42653:779 212.42279:721 226.59920:12986 226.60733:17876 240.12270:680 255.11000:803 313.08405:750 401.24738:2447 443.70779:906 478.94067:905 490.33160:10818 507.09723:3564 551.08582:4698</t>
  </si>
  <si>
    <t>LPC 17:1</t>
  </si>
  <si>
    <t>C25H50NO7P</t>
  </si>
  <si>
    <t>LPMGFNAQZPADDZ-UHFFFAOYSA-N</t>
  </si>
  <si>
    <t>O=C(OCC(O)COP(=O)([O-])OCC[N+](C)(C)C)CCCCCCCC=CCCCCCCC</t>
  </si>
  <si>
    <t>552.33020:144242 553.33487:41289 554.33954:8573</t>
  </si>
  <si>
    <t>54.58332:490 56.35601:510 61.98825:778 67.34958:489 70.50108:488 72.62321:440 78.95891:1420 84.91350:526 94.79055:545 97.26951:417 113.88132:481 127.74695:490 134.12253:449 144.02179:471 161.42807:573 161.61244:604 161.65051:656 161.68367:552 168.04333:1247 173.56122:456 175.96516:503 186.00676:478 224.06984:2869 226.59908:1401 226.60675:13902 242.08035:990 258.79321:420 267.23322:42893 316.33841:507 421.32651:540 492.31058:14766 522.22089:501</t>
  </si>
  <si>
    <t>552.33014:33354 553.33481:9491 554.33947:116877</t>
  </si>
  <si>
    <t>50.22182:718 52.01260:736 52.87241:650 57.11872:693 64.80725:809 66.58041:686 73.08615:787 75.33378:796 75.66376:847 78.95892:2095 81.40340:742 86.06722:693 88.23051:728 93.86261:738 97.58100:780 107.07922:759 115.76569:782 119.88616:786 140.68832:757 151.80901:833 152.99609:1379 153.30637:731 156.13464:786 161.23125:814 161.25865:894 161.26363:988 161.27625:836 164.88448:748 164.90546:814 167.19011:826 167.39401:944 169.03824:767 173.14807:721 179.52119:730 179.96089:753 180.64047:677 191.63431:695 221.12070:996 222.50784:803 224.06920:759 226.60376:26876 226.61174:5830 255.23369:1353 266.37839:748 267.23318:6187 285.97934:1619 350.56918:786 394.50833:886 411.84607:724 421.12988:759 429.10638:879 468.64377:769 492.31097:2740 508.21378:1399</t>
  </si>
  <si>
    <t>LPC O-18:1</t>
  </si>
  <si>
    <t>C26H54NO6P</t>
  </si>
  <si>
    <t>LGYDTKYITBAFRQ-UHFFFAOYSA-N</t>
  </si>
  <si>
    <t>O=P([O-])(OCC[N+](C)(C)C)OCC(OCCCCCCCCC=CCCCCCCCC)CO</t>
  </si>
  <si>
    <t>552.36768:490517 553.37234:145239 554.37701:22829</t>
  </si>
  <si>
    <t>51.00454:525 56.53946:512 61.98819:1057 62.00605:435 65.42656:503 68.91368:456 69.84942:492 71.16296:455 71.73085:414 71.74416:528 71.92216:472 78.11186:501 78.95887:40000 79.51602:509 88.79351:521 92.37691:520 94.14846:530 96.62664:435 96.96965:714 106.02514:534 106.06958:450 112.98553:532 126.88101:972 130.12350:463 136.91910:457 147.52065:441 163.94745:564 163.98647:471 164.04727:703 164.06329:838 164.06749:597 168.04327:17850 170.83337:825 178.75429:538 183.13269:533 204.21646:450 224.06947:853 226.60336:13719 226.61115:1713 232.50371:516 269.25812:583 331.48962:500 372.71982:516 403.26294:15975 407.75006:640 421.27362:3049 472.82907:489 492.34708:133501 552.36975:554</t>
  </si>
  <si>
    <t>552.36823:101724 553.37289:30265 554.37756:5307</t>
  </si>
  <si>
    <t>50.03527:500 52.21763:454 55.62730:427 61.98826:1114 62.01089:439 63.01507:483 63.47029:471 67.40827:490 70.51362:415 73.03620:456 78.95890:16150 78.96036:882 92.33685:603 94.94785:504 100.89792:458 109.87055:472 112.98560:569 113.50069:425 114.93510:537 118.02294:447 127.34234:447 139.90817:601 156.02885:461 160.86617:753 160.95592:689 160.96045:735 160.98087:534 161.01242:607 161.04594:521 163.68449:484 168.04332:7122 179.44415:451 202.47148:587 205.19557:465 226.60707:21466 232.93896:520 252.86618:522 280.73123:489 338.35934:449 403.26279:5693 421.27386:582 492.34714:56000 506.26535:598 514.06934:518 546.62634:508 550.72235:518</t>
  </si>
  <si>
    <t>LPC 17:0</t>
  </si>
  <si>
    <t>C25H52NO7P</t>
  </si>
  <si>
    <t>SRRQPVVYXBTRQK-UHFFFAOYSA-N</t>
  </si>
  <si>
    <t>O=C(OCC(O)COP(=O)([O-])OCC[N+](C)(C)C)CCCCCCCCCCCCCCCC</t>
  </si>
  <si>
    <t>554.34674:817121 555.35141:237642 556.35608:46759</t>
  </si>
  <si>
    <t>54.94841:558 58.24997:591 74.23284:485 78.95895:1381 88.78484:490 89.60986:446 89.76492:508 92.83492:550 115.17126:477 124.43681:611 126.63346:403 128.85617:437 160.49837:559 160.50288:470 160.54024:451 160.55109:593 160.65558:647 167.20760:433 174.03188:529 178.55373:539 188.28314:429 188.78020:510 207.29692:474 211.84097:467 224.06931:550 226.60117:8959 226.60918:8698 242.08014:723 269.24896:31406 494.32651:6168 553.94098:507</t>
  </si>
  <si>
    <t>554.34644:2220130 555.35110:660784 556.35577:121720</t>
  </si>
  <si>
    <t>54.15789:528 54.25661:471 58.35102:601 61.98819:986 66.16868:520 71.34762:503 76.15602:568 76.41483:585 78.94847:513 78.95887:19963 79.79713:486 79.90963:642 80.96313:1109 81.42593:473 81.45254:446 84.03652:513 84.40398:479 85.83879:443 87.67719:468 89.70330:546 96.64191:597 101.19689:533 129.97597:501 152.99599:5655 161.45895:578 163.88280:684 163.90805:599 163.98489:543 168.04323:8800 169.04657:576 199.02997:546 209.92534:564 224.06960:30766 226.60536:18831 228.68623:462 242.08011:5441 261.36127:549 269.24890:313092 379.65228:510 403.26273:728 404.26523:605 405.26929:2450 429.62292:550 468.99634:580 481.46481:526 492.34720:2792 493.35043:3126 494.32642:120539 494.35263:27495 554.34747:642 554.41571:1353</t>
  </si>
  <si>
    <t>LPC O-18:0</t>
  </si>
  <si>
    <t>C26H56NO6P</t>
  </si>
  <si>
    <t>GGVRMOJUHVWYBR-UHFFFAOYSA-N</t>
  </si>
  <si>
    <t>O=P([O-])(OCC[N+](C)(C)C)OCC(OCCCCCCCCCCCCCCCCCC)CO</t>
  </si>
  <si>
    <t>554.38330:152652 555.38797:46778 556.39264:9709</t>
  </si>
  <si>
    <t>56.10868:738 57.81912:947 69.39573:765 70.57767:800 74.57648:700 77.48382:727 78.95889:10440 84.74263:851 92.42976:707 94.88510:880 113.73734:787 117.24688:892 125.19975:789 159.99803:825 160.61635:810 163.71130:993 163.71686:576 168.04329:6177 174.63042:795 181.26793:701 182.95020:693 187.66969:819 192.93356:790 198.39572:957 226.59569:970 226.60139:16935 226.60928:13923 239.28032:723 296.18018:703 304.23120:661 333.66074:932 338.77353:783 348.90518:655 351.19302:689 390.28278:789 393.86334:720 405.27869:6274 433.06216:976 449.05313:827 453.10400:1048 492.90115:743 494.36255:46578 527.37537:747</t>
  </si>
  <si>
    <t>LPC 18:3</t>
  </si>
  <si>
    <t>C26H48NO7P</t>
  </si>
  <si>
    <t>WKQNRCYKYCKESD-UHFFFAOYSA-N</t>
  </si>
  <si>
    <t>O=C(OCC(O)COP(=O)([O-])OCC[N+](C)(C)C)CCCCCCCC=CCC=CCC=CCC</t>
  </si>
  <si>
    <t>562.31573:204559 563.32040:58669 564.32507:11096</t>
  </si>
  <si>
    <t>53.46716:543 57.14697:506 58.61637:502 58.77608:425 59.01367:529 61.98820:1342 68.17532:515 70.11569:526 76.10112:512 78.95892:4122 91.55093:488 101.28480:441 112.98573:572 122.81629:533 146.27765:498 147.92091:538 149.93697:594 152.99596:1946 160.35304:481 163.68771:590 163.72194:657 163.76196:706 163.77069:618 163.78854:542 164.39142:497 168.04330:2779 193.92712:572 224.06949:10362 226.59962:3788 226.60756:14746 235.96486:577 238.57028:518 242.08015:3519 242.41528:579 259.20721:613 277.21765:102926 336.71896:527 413.21057:570 468.93674:502 502.29495:40641</t>
  </si>
  <si>
    <t>LPC 18:2</t>
  </si>
  <si>
    <t>C26H50NO7P</t>
  </si>
  <si>
    <t>SPJFYYJXNPEZDW-UHFFFAOYSA-N</t>
  </si>
  <si>
    <t>O=C(OCC(O)COP(=O)([O-])OCC[N+](C)(C)C)CCCCCCCC=CCC=CCCCCC</t>
  </si>
  <si>
    <t>564.33051:13974394 565.33517:4254978 566.33984:859010</t>
  </si>
  <si>
    <t>50.51499:482 50.65290:469 52.78497:444 66.84318:522 67.34904:527 78.95892:1111 80.01162:549 83.62814:522 88.61906:488 99.52209:455 105.17152:449 114.49232:444 130.26738:464 152.99586:640 160.13266:578 161.25832:556 161.29765:437 162.33469:525 224.06979:1534 226.60156:6251 226.60950:12712 237.95583:450 255.23315:498 279.23322:22451 336.99673:448 342.72797:534 386.32095:460 456.25177:583 504.31055:7087 506.97556:469 508.97623:576 547.34991:530</t>
  </si>
  <si>
    <t>564.33069:12594047 565.33536:3816998 566.34002:790703</t>
  </si>
  <si>
    <t>52.10707:739 57.43736:792 61.83549:942 62.14825:848 63.35334:769 73.76727:713 77.12742:721 84.69199:853 94.03625:901 95.85757:830 99.61011:797 110.20801:776 114.63829:812 127.95232:721 140.45827:800 142.80379:763 146.29765:843 155.08926:809 162.36211:767 162.52936:1047 162.58713:695 172.68782:901 184.07373:870 224.06943:1013 226.60515:34460 226.61589:1291 237.09135:770 238.55208:746 244.60927:764 248.79308:732 251.83965:764 279.23331:13902 290.06015:839 504.31091:5008 548.35315:827</t>
  </si>
  <si>
    <t>LPC 18:1</t>
  </si>
  <si>
    <t>C26H52NO7P</t>
  </si>
  <si>
    <t>YAMUFBLWGFFICM-UHFFFAOYSA-N</t>
  </si>
  <si>
    <t>O=C(OCC(O)COP(=O)([O-])OCC[N+](C)(C)C)CCCCCCCC=CCCCCCCCC</t>
  </si>
  <si>
    <t>566.34735:2472380 567.35202:748609 568.35669:151935</t>
  </si>
  <si>
    <t>53.31800:462 56.52378:501 61.59385:488 77.44470:496 78.95892:2059 84.86581:507 86.28912:583 87.23952:561 100.64836:537 108.12841:431 115.15931:495 140.80034:467 146.93904:487 152.99585:1320 161.16330:538 161.16812:483 168.03746:451 168.04352:930 174.95601:530 199.14563:478 200.40654:473 224.06955:3281 226.60089:1670 226.60834:20016 242.08005:1070 247.92523:529 281.24915:46439 317.99423:471 357.03326:480 389.17249:478 437.71005:507 452.98203:533 506.32657:16753</t>
  </si>
  <si>
    <t>566.34631:11399589 567.35098:3506955 568.35565:708505</t>
  </si>
  <si>
    <t>53.85922:443 54.54872:453 58.43849:448 61.98818:1115 64.83372:504 65.95816:509 72.32214:439 78.95890:2245 79.84368:509 80.45874:429 91.95316:457 93.19479:582 102.52374:517 107.50764:438 147.61058:468 152.31653:446 152.74559:449 152.99602:791 160.45099:582 160.51355:707 160.55003:509 160.60490:529 160.61600:547 160.62000:569 160.63847:484 168.04340:918 205.67104:471 208.70236:600 224.06946:4886 226.60153:11530 226.60947:8067 242.08040:977 246.28932:615 281.24896:50476 356.86227:461 416.74823:492 459.87912:528 466.17609:502 468.86957:575 506.32639:19519</t>
  </si>
  <si>
    <t>LPC 18:0</t>
  </si>
  <si>
    <t>C26H54NO7P</t>
  </si>
  <si>
    <t>IHNKQIMGVNPMTC-UHFFFAOYSA-N</t>
  </si>
  <si>
    <t>O=C(OCC(O)COP(=O)([O-])OCC[N+](C)(C)C)CCCCCCCCCCCCCCCCC</t>
  </si>
  <si>
    <t>568.36249:8152710 569.36716:2480202 570.37182:524727</t>
  </si>
  <si>
    <t>52.13409:3981 53.69636:3705 60.09735:3444 72.46249:3524 75.13129:3751 78.95894:103167 86.77367:3621 93.20681:4053 100.09732:3327 121.46977:3491 126.11012:4103 128.15854:3710 128.45036:4153 152.99603:65693 159.17558:3291 161.21201:3051 161.25389:3453 161.26736:5690 161.30606:3772 161.31325:4581 168.04343:66992 179.99232:3345 180.10658:3548 190.53635:3268 206.98708:3895 212.53685:3808 220.91870:3265 224.06969:273944 226.60710:160474 242.08029:52285 245.39307:3501 250.86705:3734 283.26474:3076397 283.95316:4021 414.77731:3706 429.62012:3588 437.26935:4068 468.08591:3670 508.34225:1245608 509.28906:4766 510.55835:3818</t>
  </si>
  <si>
    <t>568.36212:34776448 569.36679:10629129 570.37146:2129105</t>
  </si>
  <si>
    <t>50.73332:499 51.40588:383 51.57955:495 52.17060:475 52.18230:421 52.95790:440 55.69315:591 58.91253:499 68.01926:490 68.45097:485 74.46953:488 78.95885:3531 80.62840:569 84.14706:506 88.42313:490 88.84938:493 91.26455:475 96.23933:485 100.76756:521 102.53362:510 103.02940:521 112.30879:520 117.19769:478 118.40324:499 139.90802:1082 152.99593:2283 163.53041:522 163.60150:575 163.63741:529 163.64182:676 163.67821:675 168.04335:2305 183.89813:833 196.80632:427 200.39969:446 211.62396:477 223.73079:533 224.06966:10535 226.60049:6752 226.60844:11065 242.07991:2539 253.77443:444 272.96179:477 283.26474:127070 312.23874:486 315.02347:577 348.45520:545 358.58594:529 429.44025:500 468.62955:582 485.95035:512 500.15906:702 508.34225:50810</t>
  </si>
  <si>
    <t>LPI 16:0</t>
  </si>
  <si>
    <t>C25H49O12P</t>
  </si>
  <si>
    <t>UOXRPRZMAROFPH-UHFFFAOYSA-N</t>
  </si>
  <si>
    <t>O=C(OCC(O)COP(=O)(O)OC1C(O)C(O)C(O)C(O)C1O)CCCCCCCCCCCCCCC</t>
  </si>
  <si>
    <t>571.28845:45084 572.29312:9879 573.29779:3520</t>
  </si>
  <si>
    <t>52.57061:847 59.80572:827 62.48749:898 63.88707:862 66.03923:765 70.48904:879 78.07969:797 78.95892:1193 87.58801:766 106.60605:711 107.46781:800 112.00883:792 131.89536:692 152.99588:4187 161.27908:865 161.59035:950 161.68039:779 161.74799:741 226.59917:4381 226.60701:29910 241.01215:3139 255.23331:7160 280.71768:751 315.04962:1324 345.30737:889 362.62762:840 368.57587:845 571.28949:5568</t>
  </si>
  <si>
    <t>LPC 19:1</t>
  </si>
  <si>
    <t>C27H54NO7P</t>
  </si>
  <si>
    <t>VRVDEVSSPPTZQJ-UHFFFAOYSA-N</t>
  </si>
  <si>
    <t>O=C(OCC(O)COP(=O)([O-])OCC[N+](C)(C)C)CCCCCCCC=CCCCCCCCCC</t>
  </si>
  <si>
    <t>580.36243:40169 581.36709:12300 582.37176:1807</t>
  </si>
  <si>
    <t>61.42958:486 61.98826:1128 63.29448:496 69.87531:468 70.16455:507 73.52707:532 75.23506:431 78.95892:1343 93.78259:455 124.67070:474 136.89484:474 138.19173:525 148.71049:481 159.08003:488 160.22182:471 161.22621:494 161.37265:596 161.39316:810 180.27098:480 202.28967:472 219.14204:494 221.69418:514 224.06970:1661 226.60632:18277 236.32329:458 251.56380:559 269.34146:443 295.26468:20831 384.82864:511 388.07300:500 520.34210:10276</t>
  </si>
  <si>
    <t>LPC 19:0</t>
  </si>
  <si>
    <t>C27H56NO7P</t>
  </si>
  <si>
    <t>WYIMORDZGCUBAA-UHFFFAOYSA-N</t>
  </si>
  <si>
    <t>O=C(OCC(O)COP(=O)([O-])OCC[N+](C)(C)C)CCCCCCCCCCCCCCCCCC</t>
  </si>
  <si>
    <t>582.37823:71733 583.38290:21939 584.38757:4437</t>
  </si>
  <si>
    <t>50.15341:887 52.61359:770 58.46292:764 78.31847:769 78.95883:847 116.80573:771 127.77402:765 152.76941:744 161.61188:869 162.78069:746 186.35539:917 208.31375:767 224.06961:3202 226.60513:34393 268.52069:785 297.28046:41948 310.50613:830 330.00992:791 473.89639:887 507.62119:807 516.13629:874 520.98773:761 522.35773:19345 546.79736:781 546.93097:850</t>
  </si>
  <si>
    <t>582.37854:50201 583.38321:15040 584.38788:2852</t>
  </si>
  <si>
    <t>52.06426:445 54.83337:447 58.06074:390 58.11219:454 61.74421:436 61.98822:466 63.52276:431 63.65396:423 63.80302:494 72.35885:471 74.61963:497 78.95887:789 80.16011:450 84.81572:433 85.42593:459 89.55927:433 92.52641:489 103.53278:484 111.57053:528 119.18774:481 144.12303:450 161.50334:558 161.59492:681 161.60046:671 161.63008:635 168.04318:649 174.95624:616 178.18686:472 198.29884:569 211.81883:504 224.06973:1295 226.60339:16298 226.61122:2470 236.01538:452 242.07990:1026 297.28030:33504 389.19064:466 492.63025:546 522.35773:12766 538.56421:511</t>
  </si>
  <si>
    <t>LPC O-20:0</t>
  </si>
  <si>
    <t>C28H60NO6P</t>
  </si>
  <si>
    <t>YYGTUBFHUJNRRV-UHFFFAOYSA-N</t>
  </si>
  <si>
    <t>O=P([O-])(OCC[N+](C)(C)C)OCC(OCCCCCCCCCCCCCCCCCCCC)CO</t>
  </si>
  <si>
    <t>582.41449:24252 583.41916:6762 584.42383:1637</t>
  </si>
  <si>
    <t>53.13617:470 57.65100:431 61.98827:783 64.77234:427 64.88657:420 65.37428:488 65.49744:423 67.71277:420 67.83120:593 69.90470:512 73.75015:585 75.47605:437 76.44964:416 78.95892:3000 99.11432:461 100.93353:719 118.90172:440 120.93940:1038 138.85991:474 158.97552:638 162.69060:485 162.76442:548 162.76907:603 162.84204:601 164.92955:1263 167.67085:451 168.04329:1482 184.30206:419 226.59853:3882 226.60649:10907 237.20062:479 239.87062:440 300.38977:475 309.48654:441 310.86038:519 401.79553:509 433.31000:1354 522.39404:12917 560.65863:464</t>
  </si>
  <si>
    <t>582.51044:351335 583.51510:140292 584.51977:27054</t>
  </si>
  <si>
    <t>54.22681:510 55.53668:426 58.52262:441 58.74567:425 65.34065:453 67.56470:454 68.42800:475 69.62618:479 89.14955:447 99.82162:496 100.34843:484 107.50732:477 111.80029:458 117.40981:472 119.22647:471 133.89383:522 144.85847:530 160.49210:747 160.50214:628 160.59686:629 160.61754:592 162.30353:526 187.30011:421 220.75682:539 226.60384:15016 235.20781:706 237.22267:4382 244.72215:497 254.24957:1972 255.23366:535 263.23859:1256 277.97937:441 280.26520:7374 296.26050:669 308.29675:770 338.05960:504 338.98627:718 347.78171:468 379.00067:889 426.25238:520 488.18976:475 488.48492:964 504.47888:629 506.49557:1180 521.01538:443 536.50592:11935</t>
  </si>
  <si>
    <t>Cer 34:0;O2|Cer 18:0;O2/16:0</t>
  </si>
  <si>
    <t>C34H69NO3</t>
  </si>
  <si>
    <t>GCGTXOVNNFGTPQ-UHFFFAOYSA-N</t>
  </si>
  <si>
    <t>O=C(NC(CO)C(O)CCCCCCCCCCCCCCC)CCCCCCCCCCCCCCC</t>
  </si>
  <si>
    <t>584.52539:134084 585.53006:55029 586.53473:10925</t>
  </si>
  <si>
    <t>55.50385:435 63.72109:474 65.44514:424 65.95266:475 66.20461:488 66.55335:469 68.45605:448 69.51987:491 71.95005:484 76.60378:594 81.42384:489 86.37170:512 88.64328:455 97.97034:454 101.27359:514 106.77389:494 112.38140:531 153.66711:497 160.67784:471 160.71902:761 160.72324:622 162.62578:482 162.75032:496 164.15858:474 186.99580:467 188.46173:452 219.24631:556 226.60217:10148 226.61024:4494 237.22253:953 237.41949:472 239.23822:773 266.87857:510 277.51346:530 280.26480:4105 304.23172:503 352.98544:632 373.89551:532 393.98093:562 410.81268:474 490.49966:2341 506.49487:1212 538.52136:11207 538.54510:774 579.27295:533</t>
  </si>
  <si>
    <t>LPC 20:5</t>
  </si>
  <si>
    <t>C28H48NO7P</t>
  </si>
  <si>
    <t>PDIGSOAOQOXRDU-UHFFFAOYSA-N</t>
  </si>
  <si>
    <t>O=C(OCC(O)COP(=O)([O-])OCC[N+](C)(C)C)CCCC=CCC=CCC=CCC=CCC=CCC</t>
  </si>
  <si>
    <t>586.31512:185980 587.31979:54764 588.32446:12220</t>
  </si>
  <si>
    <t>51.16501:524 58.59411:445 59.01373:1563 60.18782:453 60.37171:455 61.98824:611 72.53584:457 76.15308:504 78.95889:3740 79.63498:499 88.82944:516 89.35560:535 95.33817:493 97.46506:482 100.93378:557 105.23043:499 146.92395:518 147.26833:461 152.99596:1755 155.92166:495 161.69319:603 161.75209:760 161.81696:595 161.84306:466 161.84885:853 162.00000:467 168.04337:1888 172.02794:488 175.63504:498 181.12419:460 192.58107:473 203.18068:1015 224.06966:9948 226.60210:10103 226.61017:4164 230.44685:521 242.07986:2780 257.22781:7149 301.21777:40800 347.47772:522 371.76660:522 403.80673:492 453.50092:568 526.29504:32540 548.15723:552 586.35040:501</t>
  </si>
  <si>
    <t>LPC 20:4</t>
  </si>
  <si>
    <t>C28H50NO7P</t>
  </si>
  <si>
    <t>GOMVPVRDBLLHQC-UHFFFAOYSA-N</t>
  </si>
  <si>
    <t>O=C(OCC(O)COP(=O)([O-])OCC[N+](C)(C)C)CCCCCCC=CCC=CCC=CCC=CCC</t>
  </si>
  <si>
    <t>588.33063:2856681 589.33530:912146 590.33996:189818</t>
  </si>
  <si>
    <t>52.32511:557 56.02825:478 57.72361:484 59.01367:1826 67.79090:472 67.91984:492 69.43687:482 71.59333:509 78.95890:2535 97.22111:452 98.42503:464 100.35533:490 112.98555:570 125.54218:538 127.27251:460 149.01678:481 152.99583:2875 153.24174:449 162.29250:504 162.38438:691 162.40189:568 167.92758:634 168.04330:3224 173.36438:546 197.02144:455 205.19626:2286 220.77238:615 224.06953:3468 225.22755:533 226.60391:13298 226.61186:3042 233.01036:495 242.08000:5704 259.24329:8755 264.69711:519 272.86658:514 285.22269:766 303.23328:134451 367.09741:521 381.26373:490 391.61401:479 424.08017:524 428.31979:456 434.24048:593 463.43643:474 468.89105:468 528.31055:40420</t>
  </si>
  <si>
    <t>LPC 20:3</t>
  </si>
  <si>
    <t>C28H52NO7P</t>
  </si>
  <si>
    <t>XUDGAAFUMTTZCO-UHFFFAOYSA-N</t>
  </si>
  <si>
    <t>O=C(OCC(O)COP(=O)([O-])OCC[N+](C)(C)C)CCCCCCCCCC=CCC=CCC=CCC</t>
  </si>
  <si>
    <t>590.34723:210901 591.35190:70289 592.35656:14823</t>
  </si>
  <si>
    <t>50.72789:473 51.44016:508 53.27926:522 55.20390:448 57.22924:475 58.59254:485 61.96457:479 61.98829:597 74.19456:445 78.13499:455 78.95903:1637 79.68124:460 97.06954:538 120.50718:449 122.98546:559 128.61714:449 138.89705:524 152.99609:801 161.17674:524 161.21750:687 168.04356:863 176.14877:512 180.09137:512 224.06961:5246 226.60219:6053 226.61012:14461 242.08026:1777 304.84457:511 305.24924:53884 323.20389:477 334.13745:556 357.52002:478 361.12979:520 468.91962:478 524.38074:494 530.32672:23037</t>
  </si>
  <si>
    <t>LPC 20:2</t>
  </si>
  <si>
    <t>C28H54NO7P</t>
  </si>
  <si>
    <t>YYQVCMMXPIJVHY-UHFFFAOYSA-N</t>
  </si>
  <si>
    <t>O=C(OCC(O)COP(=O)([O-])OCC[N+](C)(C)C)CCCCCCCCCC=CCC=CCCCCC</t>
  </si>
  <si>
    <t>592.36200:228377 593.36667:71766 594.37134:13638</t>
  </si>
  <si>
    <t>62.20597:722 62.44223:797 63.66562:760 65.34929:902 73.63232:742 74.16538:744 77.02300:947 78.95891:2284 86.71803:890 90.45150:781 96.96004:3883 97.16221:741 97.38056:823 97.49408:782 103.60690:845 112.98563:10883 114.85659:729 123.54951:1014 126.84451:737 139.95312:802 148.74026:763 152.99582:806 158.08667:713 161.82431:922 161.90540:725 161.92111:1210 168.15439:715 170.16771:764 173.67203:952 194.59494:1049 215.31332:823 224.06966:6240 226.59938:5101 226.60725:26612 234.98103:749 240.13860:864 242.08005:1780 242.94875:915 264.91275:749 285.85846:741 307.26474:68353 388.17535:997 468.97482:899 532.34210:28268 588.64618:850</t>
  </si>
  <si>
    <t>LPC 20:1</t>
  </si>
  <si>
    <t>C28H56NO7P</t>
  </si>
  <si>
    <t>YYSFWGQAKJTHRE-UHFFFAOYSA-N</t>
  </si>
  <si>
    <t>O=C(OCC(O)COP(=O)([O-])OCC[N+](C)(C)C)CCCCCCCCCC=CCCCCCCCC</t>
  </si>
  <si>
    <t>594.37750:205224 595.38217:65705 596.38684:10895</t>
  </si>
  <si>
    <t>55.77157:523 59.23501:476 64.05064:490 65.37316:447 67.11640:543 67.99335:489 68.25687:496 68.28944:488 78.95895:1646 89.15959:454 89.65390:443 100.84176:436 103.06185:472 105.20242:498 127.51474:433 135.15157:461 144.16075:470 152.99590:1145 153.02875:465 157.01956:461 158.41457:441 161.36806:458 161.80165:468 163.96495:489 168.04343:1448 184.62238:541 185.64166:522 224.06953:5337 226.59886:1388 226.60637:20130 238.73419:464 240.46863:458 242.08031:973 259.20593:530 259.63171:509 269.27344:523 309.28046:55619 393.71866:520 463.36249:567 534.35760:23681 550.30933:448 594.48383:577</t>
  </si>
  <si>
    <t>LPI 18:2</t>
  </si>
  <si>
    <t>C27H49O12P</t>
  </si>
  <si>
    <t>SAHCQBPGXQFTRA-UHFFFAOYSA-N</t>
  </si>
  <si>
    <t>O=C(OCC(O)COP(=O)(O)OC1C(O)C(O)C(O)C(O)C1O)CCCCCCCC=CCC=CCCCCC</t>
  </si>
  <si>
    <t>595.28918:39900 596.29385:11557 597.29852:2523</t>
  </si>
  <si>
    <t>51.96830:891 53.22110:813 54.45761:814 57.77512:742 59.52100:768 63.22367:731 69.59436:827 72.81011:816 74.45760:721 74.85427:764 78.95884:1492 89.73533:1008 95.55128:721 102.67616:755 109.49572:739 117.25175:770 138.86552:778 151.17572:750 152.59624:815 152.99588:6718 160.35616:837 160.36011:1002 161.68376:750 171.01077:962 174.95642:1631 183.51826:882 195.57440:967 226.60634:27005 237.11111:783 241.01207:6376 265.20599:825 279.23337:11371 310.90872:856 311.18152:819 315.04892:1241 335.00824:819 347.02734:783 415.22726:948 447.57834:888 452.57379:1028 498.99634:817 526.61639:820 571.40222:826 595.28973:8708</t>
  </si>
  <si>
    <t>LPC 20:0</t>
  </si>
  <si>
    <t>C28H58NO7P</t>
  </si>
  <si>
    <t>UATOAILWGVYRQS-UHFFFAOYSA-N</t>
  </si>
  <si>
    <t>O=C(OCC(O)COP(=O)([O-])OCC[N+](C)(C)C)CCCCCCCCCCCCCCCCCCC</t>
  </si>
  <si>
    <t>596.39362:80089 597.39828:25015 598.40295:5195</t>
  </si>
  <si>
    <t>53.18578:442 54.10013:455 54.44920:495 55.88599:488 57.73597:479 60.27650:452 61.98824:1088 78.95889:801 86.30910:501 90.70936:472 100.93339:561 132.36565:480 144.85411:485 151.51910:524 152.99611:721 160.23796:468 160.51823:655 160.57181:605 161.40074:437 161.49760:543 161.52666:517 166.92747:986 168.04340:1089 205.53157:581 217.27969:481 224.06950:5208 226.59868:822 226.60513:21903 242.08009:676 248.08597:478 251.01707:480 280.31650:492 309.52954:549 311.29614:50810 325.57642:477 396.74747:525 423.47137:578 529.72473:464 532.93408:504 536.37366:23417 552.16547:516</t>
  </si>
  <si>
    <t>LPI 18:1</t>
  </si>
  <si>
    <t>C27H51O12P</t>
  </si>
  <si>
    <t>UGDOFRYHDCDVHD-UHFFFAOYSA-N</t>
  </si>
  <si>
    <t>O=C(OCC(O)COP(=O)(O)OC1C(O)C(O)C(O)C(O)C1O)CCCCCCCC=CCCCCCCCC</t>
  </si>
  <si>
    <t>597.30450:40529 598.30917:10469 599.31384:0</t>
  </si>
  <si>
    <t>52.02930:768 52.84995:879 53.55989:752 57.70608:761 65.29459:760 66.66957:851 67.11652:665 71.27219:716 73.42681:729 78.95895:1092 90.74521:758 104.06427:730 108.85695:821 112.98551:1361 128.89856:930 131.04581:744 145.45972:852 147.32919:950 152.99580:4075 163.98912:946 163.99341:727 163.99861:992 180.93796:826 194.69952:840 226.58836:1002 226.60284:28466 226.61119:6275 241.01222:3124 281.24902:7994 287.18170:751 315.04904:994 353.00259:1089 356.47504:816 409.87460:769 435.48007:829 439.56381:808 440.17963:902 466.52133:731 597.30518:8033</t>
  </si>
  <si>
    <t>LPI 18:0</t>
  </si>
  <si>
    <t>C27H53O12P</t>
  </si>
  <si>
    <t>MXAFDFDAIFZFET-UHFFFAOYSA-N</t>
  </si>
  <si>
    <t>O=C(OCC(O)COP(=O)(O)OC1C(O)C(O)C(O)C(O)C1O)CCCCCCCCCCCCCCCCC</t>
  </si>
  <si>
    <t>599.32007:135945 600.32474:0 601.32940:0</t>
  </si>
  <si>
    <t>50.01617:907 50.03979:726 51.13136:743 51.40082:723 52.04206:801 52.54294:723 52.83078:791 53.01991:724 53.94236:714 56.83615:965 60.09517:686 60.42227:699 72.79441:841 75.65780:895 78.95882:6412 81.75021:756 83.42234:816 89.44378:693 96.96938:2715 99.79530:910 100.71807:823 105.84195:729 107.01594:689 111.70115:762 113.29959:800 128.73866:759 130.45343:764 152.99593:31476 163.86885:907 163.87379:1067 163.91559:994 192.56114:805 223.00145:2111 226.60175:16453 226.60979:8646 238.68118:836 241.01204:22034 283.26456:61989 295.04407:743 295.72369:777 315.04907:10483 352.99005:770 370.99423:879 419.25827:4360 437.54971:846 468.95831:1025 491.08267:844 524.72565:809 550.17023:975 599.32104:44827</t>
  </si>
  <si>
    <t>400 to 600</t>
  </si>
  <si>
    <t xml:space="preserve">Lipid species level </t>
  </si>
  <si>
    <t>Lipid acyl/alkyl level</t>
  </si>
  <si>
    <t>ECN</t>
  </si>
  <si>
    <t>tR [min]</t>
  </si>
  <si>
    <r>
      <t>Ion 1: [M-H]</t>
    </r>
    <r>
      <rPr>
        <b/>
        <vertAlign val="superscript"/>
        <sz val="12"/>
        <color theme="1"/>
        <rFont val="Arial"/>
        <family val="2"/>
        <charset val="238"/>
      </rPr>
      <t>-</t>
    </r>
  </si>
  <si>
    <t>m/z measured</t>
  </si>
  <si>
    <t>m/z theoretical</t>
  </si>
  <si>
    <t>Mass accuracy</t>
  </si>
  <si>
    <t>FA 16:0</t>
  </si>
  <si>
    <t>FA 16:1</t>
  </si>
  <si>
    <t>FA 18:0</t>
  </si>
  <si>
    <t>FA 18:1</t>
  </si>
  <si>
    <t>FA 18:2</t>
  </si>
  <si>
    <t>FA 18:3</t>
  </si>
  <si>
    <t>FA 20:3</t>
  </si>
  <si>
    <t>FA 20:4</t>
  </si>
  <si>
    <t>FA 20:5</t>
  </si>
  <si>
    <t>FA 22:4</t>
  </si>
  <si>
    <t>FA 22:5</t>
  </si>
  <si>
    <t>FA 22:6</t>
  </si>
  <si>
    <t>ONT</t>
  </si>
  <si>
    <t>ST</t>
  </si>
  <si>
    <t>THESE ARE THE LIPID ID'S</t>
  </si>
  <si>
    <t>m/z</t>
  </si>
  <si>
    <t>RT</t>
  </si>
  <si>
    <t>MS</t>
  </si>
  <si>
    <t>MS/MS</t>
  </si>
  <si>
    <t>Alignment ID</t>
  </si>
  <si>
    <t>Average Rt(min)</t>
  </si>
  <si>
    <t>Average Mz</t>
  </si>
  <si>
    <t>Metabolite name</t>
  </si>
  <si>
    <t>Adduct type</t>
  </si>
  <si>
    <t>Post curation result</t>
  </si>
  <si>
    <t>Fill %</t>
  </si>
  <si>
    <t>MS/MS assigned</t>
  </si>
  <si>
    <t>Reference RT</t>
  </si>
  <si>
    <t>Reference m/z</t>
  </si>
  <si>
    <t>Formula</t>
  </si>
  <si>
    <t>Ontology</t>
  </si>
  <si>
    <t>INCHIKEY</t>
  </si>
  <si>
    <t>SMILES</t>
  </si>
  <si>
    <t>Annotation tag (VS1.0)</t>
  </si>
  <si>
    <t>RT matched</t>
  </si>
  <si>
    <t>m/z matched</t>
  </si>
  <si>
    <t>MS/MS matched</t>
  </si>
  <si>
    <t>Comment</t>
  </si>
  <si>
    <t>Manually modified for quantification</t>
  </si>
  <si>
    <t>Manually modified for annotation</t>
  </si>
  <si>
    <t>Isotope tracking parent ID</t>
  </si>
  <si>
    <t>Isotope tracking weight number</t>
  </si>
  <si>
    <t>RT similarity</t>
  </si>
  <si>
    <t>m/z similarity</t>
  </si>
  <si>
    <t>Simple dot product</t>
  </si>
  <si>
    <t>Weighted dot product</t>
  </si>
  <si>
    <t>Reverse dot product</t>
  </si>
  <si>
    <t>Matched peaks count</t>
  </si>
  <si>
    <t>Matched peaks percentage</t>
  </si>
  <si>
    <t>Total score</t>
  </si>
  <si>
    <t>S/N average</t>
  </si>
  <si>
    <t>Spectrum reference file name</t>
  </si>
  <si>
    <t>MS1 isotopic spectrum</t>
  </si>
  <si>
    <t>MS/MS spectrum</t>
  </si>
  <si>
    <t>N_Serum_4Xdil_600_700_R4</t>
  </si>
  <si>
    <t>Adduct</t>
  </si>
  <si>
    <t>ALL DATA IN THIS PAGE WAS ACQUIRED ON NEGATIVE ESI MODE</t>
  </si>
  <si>
    <t>Fatty acids</t>
  </si>
  <si>
    <t>NEGATIVE ESI</t>
  </si>
  <si>
    <t>Acylcarnitines</t>
  </si>
  <si>
    <r>
      <t>Ion 1: [M+H]</t>
    </r>
    <r>
      <rPr>
        <b/>
        <vertAlign val="superscript"/>
        <sz val="12"/>
        <color theme="1"/>
        <rFont val="Arial"/>
        <family val="2"/>
        <charset val="238"/>
      </rPr>
      <t>+</t>
    </r>
  </si>
  <si>
    <t>Ion 2: m/z 85</t>
  </si>
  <si>
    <t>Ion 3: m/z 144</t>
  </si>
  <si>
    <t>CAR 12:0</t>
  </si>
  <si>
    <t>CAR 13:0</t>
  </si>
  <si>
    <t>n.a.</t>
  </si>
  <si>
    <t>CAR 14:0</t>
  </si>
  <si>
    <t>CAR 14:1</t>
  </si>
  <si>
    <t>CAR 14:2</t>
  </si>
  <si>
    <t>CAR 16:0</t>
  </si>
  <si>
    <t>CAR 16:1</t>
  </si>
  <si>
    <t>CAR 18:0</t>
  </si>
  <si>
    <t>CAR 18:1</t>
  </si>
  <si>
    <t>CAR 18:2</t>
  </si>
  <si>
    <t>POSITIVE ESI</t>
  </si>
  <si>
    <t>Monoacylglycerols</t>
  </si>
  <si>
    <r>
      <t>Ion 1: [M+Na]</t>
    </r>
    <r>
      <rPr>
        <b/>
        <vertAlign val="superscript"/>
        <sz val="12"/>
        <color theme="1"/>
        <rFont val="Arial"/>
        <family val="2"/>
        <charset val="238"/>
      </rPr>
      <t>+</t>
    </r>
  </si>
  <si>
    <r>
      <t>Ion 2: [M+H-H</t>
    </r>
    <r>
      <rPr>
        <b/>
        <vertAlign val="subscript"/>
        <sz val="12"/>
        <color theme="1"/>
        <rFont val="Arial"/>
        <family val="2"/>
        <charset val="238"/>
      </rPr>
      <t>2</t>
    </r>
    <r>
      <rPr>
        <b/>
        <sz val="12"/>
        <color theme="1"/>
        <rFont val="Arial"/>
        <family val="2"/>
        <charset val="238"/>
      </rPr>
      <t>O]</t>
    </r>
    <r>
      <rPr>
        <b/>
        <vertAlign val="superscript"/>
        <sz val="12"/>
        <color theme="1"/>
        <rFont val="Arial"/>
        <family val="2"/>
        <charset val="238"/>
      </rPr>
      <t>+</t>
    </r>
  </si>
  <si>
    <t>MG 16:0</t>
  </si>
  <si>
    <t>MG 16:0_0:0_0:0</t>
  </si>
  <si>
    <t>MG 18:0</t>
  </si>
  <si>
    <t>MG 18:0_0:0_0:0</t>
  </si>
  <si>
    <t>MG 18:1</t>
  </si>
  <si>
    <t>MG 18:1_0:0_0:0</t>
  </si>
  <si>
    <t>MG 18:2</t>
  </si>
  <si>
    <t>MG 18:2_0:0_0:0</t>
  </si>
  <si>
    <t>All data below is possitive ESI</t>
  </si>
  <si>
    <t xml:space="preserve">Diacylglycerols </t>
  </si>
  <si>
    <t>Ion 2: Neutral loss of sn-1</t>
  </si>
  <si>
    <t>Ion 3: Neutral loss of sn-2/sn-3</t>
  </si>
  <si>
    <t>Ion 4: sn-1 fatty acyl</t>
  </si>
  <si>
    <t>Ion 5: sn-2/sn-3 fatty acyl</t>
  </si>
  <si>
    <t>DG 32:0</t>
  </si>
  <si>
    <t>1,2-DG 16:0/16:0</t>
  </si>
  <si>
    <t>1,3-DG 16:0/16:0</t>
  </si>
  <si>
    <t>DG 32:1</t>
  </si>
  <si>
    <t>1,2-DG 16:0_16:1</t>
  </si>
  <si>
    <t>1,3-DG 16:0_16:1</t>
  </si>
  <si>
    <t>DG 34:0</t>
  </si>
  <si>
    <t>1,2-DG 16:0_18:0</t>
  </si>
  <si>
    <t>1,3-DG 16:0_18:0</t>
  </si>
  <si>
    <t>DG 34:1</t>
  </si>
  <si>
    <t>1,2-DG 16:0_18:1</t>
  </si>
  <si>
    <t>1,3-DG 16:0_18:1</t>
  </si>
  <si>
    <t>DG 34:2</t>
  </si>
  <si>
    <t>1,2-DG 16:1_18:1</t>
  </si>
  <si>
    <t>1,3-DG 16:1_18:1</t>
  </si>
  <si>
    <t>1,2-DG 16:0_18:2</t>
  </si>
  <si>
    <t>1,3-DG 16:0_18:2</t>
  </si>
  <si>
    <t>DG 36:0</t>
  </si>
  <si>
    <t>1,3-DG 18:0/18:0</t>
  </si>
  <si>
    <t>DG 36:1</t>
  </si>
  <si>
    <t>1,3-DG 18:0_18:1</t>
  </si>
  <si>
    <t>DG 36:2</t>
  </si>
  <si>
    <t>1,2-DG 18:1/18:1</t>
  </si>
  <si>
    <t>1,3-DG 18:1/18:1</t>
  </si>
  <si>
    <t>DG 36:3</t>
  </si>
  <si>
    <t>1,2-DG 18:1_18:2</t>
  </si>
  <si>
    <t>1,3-DG 18:1_18:2</t>
  </si>
  <si>
    <t>DG 36:4</t>
  </si>
  <si>
    <t>1,3-DG 18:1_18:3</t>
  </si>
  <si>
    <t>1,3-DG 18:2_18:2</t>
  </si>
  <si>
    <t>Phosphatidylethanolamine - plasmalogens</t>
  </si>
  <si>
    <r>
      <t>Ion 2: [R</t>
    </r>
    <r>
      <rPr>
        <b/>
        <vertAlign val="subscript"/>
        <sz val="12"/>
        <rFont val="Arial"/>
        <family val="2"/>
        <charset val="238"/>
      </rPr>
      <t>2</t>
    </r>
    <r>
      <rPr>
        <b/>
        <sz val="12"/>
        <rFont val="Arial"/>
        <family val="2"/>
        <charset val="238"/>
      </rPr>
      <t>COO(C</t>
    </r>
    <r>
      <rPr>
        <b/>
        <vertAlign val="subscript"/>
        <sz val="12"/>
        <rFont val="Arial"/>
        <family val="2"/>
        <charset val="238"/>
      </rPr>
      <t>3</t>
    </r>
    <r>
      <rPr>
        <b/>
        <sz val="12"/>
        <rFont val="Arial"/>
        <family val="2"/>
        <charset val="238"/>
      </rPr>
      <t>H</t>
    </r>
    <r>
      <rPr>
        <b/>
        <vertAlign val="subscript"/>
        <sz val="12"/>
        <rFont val="Arial"/>
        <family val="2"/>
        <charset val="238"/>
      </rPr>
      <t>5</t>
    </r>
    <r>
      <rPr>
        <b/>
        <sz val="12"/>
        <rFont val="Arial"/>
        <family val="2"/>
        <charset val="238"/>
      </rPr>
      <t>)OH]</t>
    </r>
    <r>
      <rPr>
        <b/>
        <vertAlign val="superscript"/>
        <sz val="12"/>
        <rFont val="Arial"/>
        <family val="2"/>
        <charset val="238"/>
      </rPr>
      <t>+</t>
    </r>
  </si>
  <si>
    <r>
      <t>Ion 3: [R</t>
    </r>
    <r>
      <rPr>
        <b/>
        <vertAlign val="subscript"/>
        <sz val="12"/>
        <rFont val="Arial"/>
        <family val="2"/>
        <charset val="238"/>
      </rPr>
      <t>1</t>
    </r>
    <r>
      <rPr>
        <b/>
        <sz val="12"/>
        <rFont val="Arial"/>
        <family val="2"/>
        <charset val="238"/>
      </rPr>
      <t>C</t>
    </r>
    <r>
      <rPr>
        <b/>
        <vertAlign val="subscript"/>
        <sz val="12"/>
        <rFont val="Arial"/>
        <family val="2"/>
        <charset val="238"/>
      </rPr>
      <t>2</t>
    </r>
    <r>
      <rPr>
        <b/>
        <sz val="12"/>
        <rFont val="Arial"/>
        <family val="2"/>
        <charset val="238"/>
      </rPr>
      <t>H</t>
    </r>
    <r>
      <rPr>
        <b/>
        <vertAlign val="subscript"/>
        <sz val="12"/>
        <rFont val="Arial"/>
        <family val="2"/>
        <charset val="238"/>
      </rPr>
      <t>2</t>
    </r>
    <r>
      <rPr>
        <b/>
        <sz val="12"/>
        <rFont val="Arial"/>
        <family val="2"/>
        <charset val="238"/>
      </rPr>
      <t>HPO</t>
    </r>
    <r>
      <rPr>
        <b/>
        <vertAlign val="subscript"/>
        <sz val="12"/>
        <rFont val="Arial"/>
        <family val="2"/>
        <charset val="238"/>
      </rPr>
      <t>4</t>
    </r>
    <r>
      <rPr>
        <b/>
        <sz val="12"/>
        <rFont val="Arial"/>
        <family val="2"/>
        <charset val="238"/>
      </rPr>
      <t>C</t>
    </r>
    <r>
      <rPr>
        <b/>
        <vertAlign val="subscript"/>
        <sz val="12"/>
        <rFont val="Arial"/>
        <family val="2"/>
        <charset val="238"/>
      </rPr>
      <t>2</t>
    </r>
    <r>
      <rPr>
        <b/>
        <sz val="12"/>
        <rFont val="Arial"/>
        <family val="2"/>
        <charset val="238"/>
      </rPr>
      <t>H</t>
    </r>
    <r>
      <rPr>
        <b/>
        <vertAlign val="subscript"/>
        <sz val="12"/>
        <rFont val="Arial"/>
        <family val="2"/>
        <charset val="238"/>
      </rPr>
      <t>4</t>
    </r>
    <r>
      <rPr>
        <b/>
        <sz val="12"/>
        <rFont val="Arial"/>
        <family val="2"/>
        <charset val="238"/>
      </rPr>
      <t>NH</t>
    </r>
    <r>
      <rPr>
        <b/>
        <vertAlign val="subscript"/>
        <sz val="12"/>
        <rFont val="Arial"/>
        <family val="2"/>
        <charset val="238"/>
      </rPr>
      <t>2</t>
    </r>
    <r>
      <rPr>
        <b/>
        <sz val="12"/>
        <rFont val="Arial"/>
        <family val="2"/>
        <charset val="238"/>
      </rPr>
      <t>]</t>
    </r>
    <r>
      <rPr>
        <b/>
        <vertAlign val="superscript"/>
        <sz val="12"/>
        <rFont val="Arial"/>
        <family val="2"/>
        <charset val="238"/>
      </rPr>
      <t>+</t>
    </r>
  </si>
  <si>
    <t>Ion 4: Neutral loss of m/z 141</t>
  </si>
  <si>
    <t>PE P-34:1</t>
  </si>
  <si>
    <t>PE P-16:0/18:1</t>
  </si>
  <si>
    <t>PE P-34:2</t>
  </si>
  <si>
    <t>PE P-16:0/18:2</t>
  </si>
  <si>
    <t>PE P-36:1</t>
  </si>
  <si>
    <t>PE P-18:0/18:1</t>
  </si>
  <si>
    <t>PE P-36:2</t>
  </si>
  <si>
    <t>PE P-18:1/18:1</t>
  </si>
  <si>
    <t>PE P-18:0/18:2</t>
  </si>
  <si>
    <t>PE P-36:3</t>
  </si>
  <si>
    <t>PE P-16:0/20:3</t>
  </si>
  <si>
    <t>PE P-18:0/18:3</t>
  </si>
  <si>
    <t>PE P-18:1/18:2</t>
  </si>
  <si>
    <t>PE P-36:4</t>
  </si>
  <si>
    <t>PE P-16:0/20:4</t>
  </si>
  <si>
    <t>PE P-36:5</t>
  </si>
  <si>
    <t>PE P-16:0/20:5</t>
  </si>
  <si>
    <t>PE P-38:1</t>
  </si>
  <si>
    <t>PE P-20:0/18:1</t>
  </si>
  <si>
    <t>PE P-38:2</t>
  </si>
  <si>
    <t>PE P-20:0/18:2</t>
  </si>
  <si>
    <t>PE P-38:3</t>
  </si>
  <si>
    <t>PE P-18:0/20:3</t>
  </si>
  <si>
    <t>PE P-38:4</t>
  </si>
  <si>
    <t>PE P-18:0/20:4</t>
  </si>
  <si>
    <t>PE P-16:0/22:4</t>
  </si>
  <si>
    <t>PE P-38:5</t>
  </si>
  <si>
    <t>PE P-18:1/20:4</t>
  </si>
  <si>
    <t>PE P-18:0/20:5</t>
  </si>
  <si>
    <t>PE P-16:0/22:5</t>
  </si>
  <si>
    <t>PE P-38:6</t>
  </si>
  <si>
    <t>PE P-18:1/20:5</t>
  </si>
  <si>
    <t>PE P-16:0/22:6</t>
  </si>
  <si>
    <t>PE P-40:4</t>
  </si>
  <si>
    <t>PE P-18:0/22:4</t>
  </si>
  <si>
    <t>PE P-20:0/20:4</t>
  </si>
  <si>
    <t>PE P-40:5</t>
  </si>
  <si>
    <t>PE P-18:0/22:5</t>
  </si>
  <si>
    <t>PE P-18:1/22:4</t>
  </si>
  <si>
    <t>PE P-20:1/20:4</t>
  </si>
  <si>
    <t>PE P-40:6</t>
  </si>
  <si>
    <t>PE P-18:1/22:5</t>
  </si>
  <si>
    <t>PE P-18:0/22:6</t>
  </si>
  <si>
    <t xml:space="preserve">Cholesterol and cholesteryl esters </t>
  </si>
  <si>
    <r>
      <t>Ion 1: [M+NH</t>
    </r>
    <r>
      <rPr>
        <b/>
        <vertAlign val="subscript"/>
        <sz val="12"/>
        <color theme="1"/>
        <rFont val="Arial"/>
        <family val="2"/>
        <charset val="238"/>
      </rPr>
      <t>4</t>
    </r>
    <r>
      <rPr>
        <b/>
        <sz val="12"/>
        <color theme="1"/>
        <rFont val="Arial"/>
        <family val="2"/>
        <charset val="238"/>
      </rPr>
      <t>]</t>
    </r>
    <r>
      <rPr>
        <b/>
        <vertAlign val="superscript"/>
        <sz val="12"/>
        <color theme="1"/>
        <rFont val="Arial"/>
        <family val="2"/>
        <charset val="238"/>
      </rPr>
      <t>+</t>
    </r>
  </si>
  <si>
    <t>Ion 2: m/z 369</t>
  </si>
  <si>
    <t>CE 16:0</t>
  </si>
  <si>
    <t>CE 16:1</t>
  </si>
  <si>
    <t>CE 18:0</t>
  </si>
  <si>
    <t>CE 18:1</t>
  </si>
  <si>
    <t>CE 18:2</t>
  </si>
  <si>
    <t>CE 18:3</t>
  </si>
  <si>
    <t>CE 20:2</t>
  </si>
  <si>
    <t>CE 20:3</t>
  </si>
  <si>
    <t>CE 20:4</t>
  </si>
  <si>
    <t>CE 20:5</t>
  </si>
  <si>
    <t>CE 22:4</t>
  </si>
  <si>
    <t>CE 22:5</t>
  </si>
  <si>
    <t>CE 22:6</t>
  </si>
  <si>
    <t>Triacylglycerols</t>
  </si>
  <si>
    <r>
      <t>Ion 2: [M+Na]</t>
    </r>
    <r>
      <rPr>
        <b/>
        <vertAlign val="superscript"/>
        <sz val="12"/>
        <color theme="1"/>
        <rFont val="Arial"/>
        <family val="2"/>
        <charset val="238"/>
      </rPr>
      <t>+</t>
    </r>
  </si>
  <si>
    <t>Ion 3: Neutral loss of sn-1</t>
  </si>
  <si>
    <t>Ion 4:  Neutral loss of sn-2</t>
  </si>
  <si>
    <t xml:space="preserve">Ion 5: Neutral loss of sn-3 </t>
  </si>
  <si>
    <t>TG 42:0</t>
  </si>
  <si>
    <t>TG 16:0_14:0_12:0</t>
  </si>
  <si>
    <t>TG 42:1</t>
  </si>
  <si>
    <t>TG 12:0_12:0_18:1</t>
  </si>
  <si>
    <t>TG 42:2</t>
  </si>
  <si>
    <t>TG 44:0</t>
  </si>
  <si>
    <t>TG 16:0_14:0_14:0</t>
  </si>
  <si>
    <t>TG 44:1</t>
  </si>
  <si>
    <t>TG 14:0_18:1_12:0</t>
  </si>
  <si>
    <t>TG 16:1_14:0_14:0</t>
  </si>
  <si>
    <t>TG 44:2</t>
  </si>
  <si>
    <t>TG 14:0_18:2_12:0</t>
  </si>
  <si>
    <t>TG 46:0</t>
  </si>
  <si>
    <t>TG 16:0_16:0_14:0</t>
  </si>
  <si>
    <t>TG 46:1</t>
  </si>
  <si>
    <t>TG 16:0_18:1_12:0</t>
  </si>
  <si>
    <t>TG 16:0_16:1_14:0</t>
  </si>
  <si>
    <t>TG 46:2</t>
  </si>
  <si>
    <t>TG 16:0_18:2_12:0</t>
  </si>
  <si>
    <t>TG 14:0_14:0_18:2</t>
  </si>
  <si>
    <t>TG 18:1_18:1_10:0</t>
  </si>
  <si>
    <t>TG 46:3</t>
  </si>
  <si>
    <t>n.a</t>
  </si>
  <si>
    <t>TG 48:0</t>
  </si>
  <si>
    <t>TG 16:0_16:0_16:0</t>
  </si>
  <si>
    <t>TG 18:0_16:0_14:0</t>
  </si>
  <si>
    <t>TG 48:1</t>
  </si>
  <si>
    <t>TG 16:0_16:1_16:0</t>
  </si>
  <si>
    <t>TG 16:0_18:1_14:0</t>
  </si>
  <si>
    <t>TG 18:0_18:1_12:0</t>
  </si>
  <si>
    <t>TG 48:2</t>
  </si>
  <si>
    <t>TG 18:1_18:1_12:0</t>
  </si>
  <si>
    <t>TG 16:0_18:2_14:0</t>
  </si>
  <si>
    <t>TG 18:1_16:1_14:0</t>
  </si>
  <si>
    <t>TG 48:3</t>
  </si>
  <si>
    <t>TG 18:1_18:2_12:0</t>
  </si>
  <si>
    <t>TG 49:0</t>
  </si>
  <si>
    <t>TG 17:0_16:0_16:0</t>
  </si>
  <si>
    <t>TG 49:1</t>
  </si>
  <si>
    <t>TG 15:0_16:0_18:1</t>
  </si>
  <si>
    <t>TG 49:2</t>
  </si>
  <si>
    <t>TG 49:3</t>
  </si>
  <si>
    <t>TG 18:2_16:1_15:0</t>
  </si>
  <si>
    <t>TG 50:0</t>
  </si>
  <si>
    <t>TG 18:0_16:0_16:0</t>
  </si>
  <si>
    <t>TG 50:1</t>
  </si>
  <si>
    <t>TG 16:0_18:1_16:0</t>
  </si>
  <si>
    <t>TG 18:0_18:1_14:0</t>
  </si>
  <si>
    <t>TG 50:2</t>
  </si>
  <si>
    <t>TG 18:1_18:1_14:0</t>
  </si>
  <si>
    <t>TG 16:0_18:1_16:1</t>
  </si>
  <si>
    <t>TG 16:0_18:2_16:0</t>
  </si>
  <si>
    <t>TG 50:3</t>
  </si>
  <si>
    <t>TG 18:1_18:2_14:0</t>
  </si>
  <si>
    <t>TG 16:1_16:0_18:2</t>
  </si>
  <si>
    <t>TG 16:1_16:1_18:1</t>
  </si>
  <si>
    <t>TG 50:4</t>
  </si>
  <si>
    <t>TG 18:2_18:2_14:0</t>
  </si>
  <si>
    <t>TG 18:3_16:1_16:0</t>
  </si>
  <si>
    <t>TG 18:2_16:1_16:1</t>
  </si>
  <si>
    <t>TG 51:0</t>
  </si>
  <si>
    <t>TG 18:0_17:0_16:0</t>
  </si>
  <si>
    <t>TG 51:1</t>
  </si>
  <si>
    <t>TG 17:0_18:1_16:0</t>
  </si>
  <si>
    <t>TG 51:2</t>
  </si>
  <si>
    <t>TG 17:1_18:1_16:0</t>
  </si>
  <si>
    <t>TG 51:3</t>
  </si>
  <si>
    <t>TG 18:2_15:0_18:1</t>
  </si>
  <si>
    <t>TG 17:1_18:2_16:0</t>
  </si>
  <si>
    <t>TG 51:4</t>
  </si>
  <si>
    <t>TG 18:2_18:2_15:0</t>
  </si>
  <si>
    <t>TG 52:0</t>
  </si>
  <si>
    <t>TG 18:0_18:0_16:0</t>
  </si>
  <si>
    <t>TG 52:1</t>
  </si>
  <si>
    <t>TG 18:0_18:1_16:0</t>
  </si>
  <si>
    <t>TG 52:2</t>
  </si>
  <si>
    <t>TG 18:1_18:1_16:0</t>
  </si>
  <si>
    <t>TG 20:2_16:0_16:0</t>
  </si>
  <si>
    <t>TG 52:3</t>
  </si>
  <si>
    <t>TG 18:1_18:1_16:1</t>
  </si>
  <si>
    <t>TG 18:1_18:2_16:0</t>
  </si>
  <si>
    <t>TG 52:4</t>
  </si>
  <si>
    <t>TG 18:1_18:2_16:1</t>
  </si>
  <si>
    <t>TG 18:1_18:3_16:0</t>
  </si>
  <si>
    <t>TG 18:2_18:2_16:0</t>
  </si>
  <si>
    <t>TG 52:5</t>
  </si>
  <si>
    <t>TG 18:2_18:2_16:1</t>
  </si>
  <si>
    <t>TG 18:3_18:2_16:0</t>
  </si>
  <si>
    <t>TG 53:1</t>
  </si>
  <si>
    <t>TG 18:0_18:1_17:0</t>
  </si>
  <si>
    <t>TG 53:2</t>
  </si>
  <si>
    <t>TG 18:1_18:1_17:0</t>
  </si>
  <si>
    <t>TG 53:3</t>
  </si>
  <si>
    <t>TG 18:1_18:1_17:1</t>
  </si>
  <si>
    <t>TG 18:1_18:2_17:0</t>
  </si>
  <si>
    <t>TG 54:0</t>
  </si>
  <si>
    <t>TG 54:1</t>
  </si>
  <si>
    <t>TG 20:0_18:1_16:0</t>
  </si>
  <si>
    <t>TG 18:1_18:0_18:0</t>
  </si>
  <si>
    <t>TG 18:0_20:1_16:0</t>
  </si>
  <si>
    <t>TG 54:2</t>
  </si>
  <si>
    <t>TG 20:1_18:1_16:0</t>
  </si>
  <si>
    <t>TG 18:0_18:1_18:1</t>
  </si>
  <si>
    <t>TG 54:3</t>
  </si>
  <si>
    <t>TG 18:1_18:1_18:1</t>
  </si>
  <si>
    <t>TG 18:0_18:2_18:1</t>
  </si>
  <si>
    <t>TG 54:4</t>
  </si>
  <si>
    <t>TG 18:1_18:2_18:1</t>
  </si>
  <si>
    <t>TG 18:0_18:2_18:2</t>
  </si>
  <si>
    <t>TG 16:0_16:0_22:4</t>
  </si>
  <si>
    <t>TG 54:5</t>
  </si>
  <si>
    <t>TG 18:1_18:2_18:2</t>
  </si>
  <si>
    <t>TG 18:1_18:1_18:3</t>
  </si>
  <si>
    <t>TG 20:4_18:1_16:0</t>
  </si>
  <si>
    <t>TG 54:6</t>
  </si>
  <si>
    <t>TG 18:1_18:2_18:3</t>
  </si>
  <si>
    <t>TG 20:4_18:1_16:1</t>
  </si>
  <si>
    <t>TG 20:4_18:2_16:0</t>
  </si>
  <si>
    <t>TG 56:1</t>
  </si>
  <si>
    <t>TG 24:1_16:0_16:0</t>
  </si>
  <si>
    <t>TG 56:2</t>
  </si>
  <si>
    <t>TG 20:1_18:1_18:0</t>
  </si>
  <si>
    <t>TG 22:0_18:2_16:0</t>
  </si>
  <si>
    <t>TG 22:1_18:1_16:0</t>
  </si>
  <si>
    <t>TG 56:3</t>
  </si>
  <si>
    <t>TG 20:1_18:1_18:1</t>
  </si>
  <si>
    <t>TG 56:5</t>
  </si>
  <si>
    <t>TG 22:4_16:0_18:1</t>
  </si>
  <si>
    <t>TG 20:4_18:1_18:0</t>
  </si>
  <si>
    <t>TG 20:1_18:2_18:2</t>
  </si>
  <si>
    <t>TG 56:6</t>
  </si>
  <si>
    <t>TG 22:4_18:2_16:0</t>
  </si>
  <si>
    <t>TG 20:4_18:2_18:0</t>
  </si>
  <si>
    <t>TG 22:5_18:1_16:0</t>
  </si>
  <si>
    <t>TG 56:7</t>
  </si>
  <si>
    <t>TG 22:5_18:2_16:0</t>
  </si>
  <si>
    <t>TG 56:8</t>
  </si>
  <si>
    <t>TG 22:6_18:2_16:0</t>
  </si>
  <si>
    <t>TG 58:2</t>
  </si>
  <si>
    <t>TG 22:0_18:1_18:1</t>
  </si>
  <si>
    <t>TG 24:0_16:0_18:2</t>
  </si>
  <si>
    <t>TG 24:1_18:1_16:0</t>
  </si>
  <si>
    <t>TG 58:3</t>
  </si>
  <si>
    <t>TG 22:0_18:2_18:1</t>
  </si>
  <si>
    <t>COUNT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</si>
</sst>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"/>
    <numFmt numFmtId="165" formatCode="0.0"/>
  </numFmts>
  <fonts count="18" x14ac:knownFonts="1">
    <font>
      <sz val="11"/>
      <color theme="1"/>
      <name val="Aptos Narrow"/>
      <family val="2"/>
      <scheme val="minor"/>
    </font>
    <font>
      <b/>
      <vertAlign val="superscript"/>
      <sz val="12"/>
      <color theme="1"/>
      <name val="Arial"/>
      <family val="2"/>
      <charset val="238"/>
    </font>
    <font>
      <sz val="12"/>
      <color theme="1"/>
      <name val="Arial"/>
      <family val="2"/>
      <charset val="238"/>
    </font>
    <font>
      <b/>
      <sz val="11"/>
      <color theme="1"/>
      <name val="Aptos Narrow"/>
      <family val="2"/>
      <scheme val="minor"/>
    </font>
    <font>
      <b/>
      <i/>
      <sz val="11"/>
      <color theme="1"/>
      <name val="Aptos Narrow"/>
      <family val="2"/>
      <scheme val="minor"/>
    </font>
    <font>
      <b/>
      <sz val="11"/>
      <color theme="8" tint="0.59999389629810485"/>
      <name val="Aptos Narrow"/>
      <family val="2"/>
      <scheme val="minor"/>
    </font>
    <font>
      <sz val="11"/>
      <color theme="8" tint="0.59999389629810485"/>
      <name val="Aptos Narrow"/>
      <family val="2"/>
      <scheme val="minor"/>
    </font>
    <font>
      <b/>
      <sz val="12"/>
      <color theme="1"/>
      <name val="Arial"/>
      <family val="2"/>
      <charset val="238"/>
    </font>
    <font>
      <sz val="12"/>
      <name val="Arial"/>
      <family val="2"/>
      <charset val="238"/>
    </font>
    <font>
      <b/>
      <sz val="16"/>
      <color theme="8" tint="0.59999389629810485"/>
      <name val="Aptos Narrow"/>
      <family val="2"/>
      <scheme val="minor"/>
    </font>
    <font>
      <b/>
      <sz val="16"/>
      <color rgb="FF92D050"/>
      <name val="Aptos Narrow"/>
      <family val="2"/>
      <scheme val="minor"/>
    </font>
    <font>
      <b/>
      <vertAlign val="subscript"/>
      <sz val="12"/>
      <color theme="1"/>
      <name val="Arial"/>
      <family val="2"/>
      <charset val="238"/>
    </font>
    <font>
      <b/>
      <sz val="12"/>
      <name val="Arial"/>
      <family val="2"/>
      <charset val="238"/>
    </font>
    <font>
      <b/>
      <vertAlign val="subscript"/>
      <sz val="12"/>
      <name val="Arial"/>
      <family val="2"/>
      <charset val="238"/>
    </font>
    <font>
      <b/>
      <vertAlign val="superscript"/>
      <sz val="12"/>
      <name val="Arial"/>
      <family val="2"/>
      <charset val="238"/>
    </font>
    <font>
      <sz val="11"/>
      <color theme="1"/>
      <name val="Aptos Narrow"/>
      <family val="2"/>
      <charset val="238"/>
      <scheme val="minor"/>
    </font>
    <font>
      <sz val="12"/>
      <color rgb="FF212529"/>
      <name val="Arial"/>
      <family val="2"/>
      <charset val="238"/>
    </font>
    <font>
      <b/>
      <sz val="11"/>
      <color rgb="FFC00000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92D050"/>
        <bgColor indexed="64"/>
      </patternFill>
    </fill>
  </fills>
  <borders count="1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5" fillId="0" borderId="0"/>
  </cellStyleXfs>
  <cellXfs count="65">
    <xf numFmtId="0" fontId="0" fillId="0" borderId="0" xfId="0"/>
    <xf numFmtId="0" fontId="2" fillId="0" borderId="0" xfId="0" applyFont="1" applyAlignment="1">
      <alignment horizontal="center" vertical="center"/>
    </xf>
    <xf numFmtId="164" fontId="2" fillId="0" borderId="0" xfId="0" applyNumberFormat="1" applyFont="1" applyAlignment="1">
      <alignment horizontal="center" vertical="center"/>
    </xf>
    <xf numFmtId="165" fontId="2" fillId="0" borderId="0" xfId="0" applyNumberFormat="1" applyFont="1" applyAlignment="1">
      <alignment horizontal="center" vertical="center"/>
    </xf>
    <xf numFmtId="0" fontId="3" fillId="0" borderId="0" xfId="0" applyFont="1" applyAlignment="1">
      <alignment horizontal="center"/>
    </xf>
    <xf numFmtId="0" fontId="3" fillId="0" borderId="0" xfId="0" applyFont="1"/>
    <xf numFmtId="0" fontId="3" fillId="2" borderId="0" xfId="0" applyFont="1" applyFill="1"/>
    <xf numFmtId="0" fontId="4" fillId="0" borderId="0" xfId="0" applyFont="1" applyAlignment="1">
      <alignment horizontal="center"/>
    </xf>
    <xf numFmtId="0" fontId="2" fillId="0" borderId="0" xfId="0" applyFont="1" applyAlignment="1">
      <alignment horizontal="center" vertical="center"/>
    </xf>
    <xf numFmtId="0" fontId="0" fillId="3" borderId="0" xfId="0" applyFill="1"/>
    <xf numFmtId="0" fontId="5" fillId="3" borderId="0" xfId="0" applyFont="1" applyFill="1"/>
    <xf numFmtId="0" fontId="6" fillId="3" borderId="0" xfId="0" applyFont="1" applyFill="1"/>
    <xf numFmtId="0" fontId="7" fillId="4" borderId="1" xfId="0" applyFont="1" applyFill="1" applyBorder="1" applyAlignment="1">
      <alignment horizontal="center" vertical="center"/>
    </xf>
    <xf numFmtId="0" fontId="7" fillId="4" borderId="2" xfId="0" applyFont="1" applyFill="1" applyBorder="1" applyAlignment="1">
      <alignment horizontal="center" vertical="center"/>
    </xf>
    <xf numFmtId="0" fontId="7" fillId="4" borderId="3" xfId="0" applyFont="1" applyFill="1" applyBorder="1" applyAlignment="1">
      <alignment horizontal="center" vertical="center"/>
    </xf>
    <xf numFmtId="0" fontId="7" fillId="0" borderId="4" xfId="0" applyFont="1" applyBorder="1" applyAlignment="1">
      <alignment horizontal="center" vertical="center"/>
    </xf>
    <xf numFmtId="0" fontId="7" fillId="0" borderId="5" xfId="0" applyFont="1" applyBorder="1" applyAlignment="1">
      <alignment horizontal="center" vertical="center"/>
    </xf>
    <xf numFmtId="0" fontId="7" fillId="0" borderId="6" xfId="0" applyFont="1" applyBorder="1" applyAlignment="1">
      <alignment horizontal="center" vertical="center"/>
    </xf>
    <xf numFmtId="0" fontId="7" fillId="0" borderId="7" xfId="0" applyFont="1" applyBorder="1" applyAlignment="1">
      <alignment horizontal="center" vertical="center"/>
    </xf>
    <xf numFmtId="0" fontId="7" fillId="0" borderId="8" xfId="0" applyFont="1" applyBorder="1" applyAlignment="1">
      <alignment horizontal="center" vertical="center"/>
    </xf>
    <xf numFmtId="0" fontId="7" fillId="0" borderId="8" xfId="0" applyFont="1" applyBorder="1" applyAlignment="1">
      <alignment horizontal="center" vertical="center"/>
    </xf>
    <xf numFmtId="0" fontId="7" fillId="0" borderId="9" xfId="0" applyFont="1" applyBorder="1" applyAlignment="1">
      <alignment horizontal="center" vertical="center"/>
    </xf>
    <xf numFmtId="0" fontId="7" fillId="4" borderId="10" xfId="0" applyFont="1" applyFill="1" applyBorder="1" applyAlignment="1">
      <alignment horizontal="center" vertical="center"/>
    </xf>
    <xf numFmtId="0" fontId="7" fillId="4" borderId="11" xfId="0" applyFont="1" applyFill="1" applyBorder="1" applyAlignment="1">
      <alignment horizontal="center" vertical="center"/>
    </xf>
    <xf numFmtId="0" fontId="7" fillId="4" borderId="12" xfId="0" applyFont="1" applyFill="1" applyBorder="1" applyAlignment="1">
      <alignment horizontal="center" vertical="center"/>
    </xf>
    <xf numFmtId="0" fontId="7" fillId="0" borderId="5" xfId="0" applyFont="1" applyBorder="1" applyAlignment="1">
      <alignment horizontal="center" vertical="center"/>
    </xf>
    <xf numFmtId="0" fontId="7" fillId="0" borderId="6" xfId="0" applyFont="1" applyBorder="1" applyAlignment="1">
      <alignment horizontal="center" vertical="center"/>
    </xf>
    <xf numFmtId="0" fontId="7" fillId="0" borderId="8" xfId="0" applyFont="1" applyBorder="1" applyAlignment="1">
      <alignment horizontal="center"/>
    </xf>
    <xf numFmtId="0" fontId="7" fillId="0" borderId="9" xfId="0" applyFont="1" applyBorder="1" applyAlignment="1">
      <alignment horizontal="center"/>
    </xf>
    <xf numFmtId="0" fontId="2" fillId="0" borderId="0" xfId="0" applyFont="1" applyAlignment="1">
      <alignment horizontal="center"/>
    </xf>
    <xf numFmtId="2" fontId="2" fillId="0" borderId="0" xfId="0" applyNumberFormat="1" applyFont="1" applyAlignment="1">
      <alignment horizontal="center"/>
    </xf>
    <xf numFmtId="165" fontId="2" fillId="0" borderId="0" xfId="0" applyNumberFormat="1" applyFont="1" applyAlignment="1">
      <alignment horizontal="center"/>
    </xf>
    <xf numFmtId="164" fontId="2" fillId="0" borderId="0" xfId="0" applyNumberFormat="1" applyFont="1" applyAlignment="1">
      <alignment horizontal="center"/>
    </xf>
    <xf numFmtId="0" fontId="8" fillId="0" borderId="0" xfId="0" applyFont="1" applyAlignment="1">
      <alignment horizontal="center"/>
    </xf>
    <xf numFmtId="0" fontId="9" fillId="3" borderId="0" xfId="0" applyFont="1" applyFill="1" applyAlignment="1">
      <alignment horizontal="center"/>
    </xf>
    <xf numFmtId="0" fontId="10" fillId="3" borderId="0" xfId="0" applyFont="1" applyFill="1" applyAlignment="1">
      <alignment horizontal="center"/>
    </xf>
    <xf numFmtId="0" fontId="7" fillId="0" borderId="13" xfId="0" applyFont="1" applyBorder="1" applyAlignment="1">
      <alignment horizontal="center" vertical="center"/>
    </xf>
    <xf numFmtId="0" fontId="7" fillId="0" borderId="14" xfId="0" applyFont="1" applyBorder="1" applyAlignment="1">
      <alignment horizontal="center" vertical="center"/>
    </xf>
    <xf numFmtId="0" fontId="7" fillId="0" borderId="15" xfId="0" applyFont="1" applyBorder="1" applyAlignment="1">
      <alignment horizontal="center" vertical="center"/>
    </xf>
    <xf numFmtId="0" fontId="7" fillId="0" borderId="16" xfId="0" applyFont="1" applyBorder="1" applyAlignment="1">
      <alignment horizontal="center" vertical="center"/>
    </xf>
    <xf numFmtId="0" fontId="7" fillId="0" borderId="17" xfId="0" applyFont="1" applyBorder="1" applyAlignment="1">
      <alignment horizontal="center" vertical="center"/>
    </xf>
    <xf numFmtId="0" fontId="7" fillId="0" borderId="18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164" fontId="8" fillId="0" borderId="0" xfId="0" applyNumberFormat="1" applyFont="1" applyAlignment="1">
      <alignment horizontal="center"/>
    </xf>
    <xf numFmtId="0" fontId="8" fillId="0" borderId="0" xfId="0" applyFont="1" applyAlignment="1">
      <alignment horizontal="center" vertical="center"/>
    </xf>
    <xf numFmtId="0" fontId="12" fillId="4" borderId="1" xfId="0" applyFont="1" applyFill="1" applyBorder="1" applyAlignment="1">
      <alignment horizontal="center"/>
    </xf>
    <xf numFmtId="0" fontId="12" fillId="4" borderId="2" xfId="0" applyFont="1" applyFill="1" applyBorder="1" applyAlignment="1">
      <alignment horizontal="center"/>
    </xf>
    <xf numFmtId="0" fontId="12" fillId="4" borderId="3" xfId="0" applyFont="1" applyFill="1" applyBorder="1" applyAlignment="1">
      <alignment horizontal="center"/>
    </xf>
    <xf numFmtId="0" fontId="12" fillId="0" borderId="5" xfId="0" applyFont="1" applyBorder="1" applyAlignment="1">
      <alignment horizontal="center"/>
    </xf>
    <xf numFmtId="0" fontId="12" fillId="0" borderId="6" xfId="0" applyFont="1" applyBorder="1" applyAlignment="1">
      <alignment horizontal="center"/>
    </xf>
    <xf numFmtId="0" fontId="8" fillId="0" borderId="0" xfId="0" applyFont="1" applyAlignment="1">
      <alignment horizontal="center" vertical="center"/>
    </xf>
    <xf numFmtId="164" fontId="8" fillId="0" borderId="0" xfId="1" applyNumberFormat="1" applyFont="1" applyAlignment="1">
      <alignment horizontal="center" vertical="center"/>
    </xf>
    <xf numFmtId="165" fontId="8" fillId="0" borderId="0" xfId="0" applyNumberFormat="1" applyFont="1" applyAlignment="1">
      <alignment horizontal="center"/>
    </xf>
    <xf numFmtId="2" fontId="8" fillId="0" borderId="0" xfId="0" applyNumberFormat="1" applyFont="1" applyAlignment="1">
      <alignment horizontal="center"/>
    </xf>
    <xf numFmtId="164" fontId="16" fillId="0" borderId="0" xfId="0" applyNumberFormat="1" applyFont="1" applyAlignment="1">
      <alignment horizontal="center" vertical="center"/>
    </xf>
    <xf numFmtId="0" fontId="7" fillId="4" borderId="1" xfId="0" applyFont="1" applyFill="1" applyBorder="1" applyAlignment="1">
      <alignment horizontal="center"/>
    </xf>
    <xf numFmtId="0" fontId="7" fillId="4" borderId="2" xfId="0" applyFont="1" applyFill="1" applyBorder="1" applyAlignment="1">
      <alignment horizontal="center"/>
    </xf>
    <xf numFmtId="0" fontId="7" fillId="4" borderId="3" xfId="0" applyFont="1" applyFill="1" applyBorder="1" applyAlignment="1">
      <alignment horizontal="center"/>
    </xf>
    <xf numFmtId="0" fontId="7" fillId="0" borderId="5" xfId="0" applyFont="1" applyBorder="1" applyAlignment="1">
      <alignment horizontal="center"/>
    </xf>
    <xf numFmtId="0" fontId="7" fillId="0" borderId="6" xfId="0" applyFont="1" applyBorder="1" applyAlignment="1">
      <alignment horizontal="center"/>
    </xf>
    <xf numFmtId="164" fontId="16" fillId="0" borderId="0" xfId="0" applyNumberFormat="1" applyFont="1" applyAlignment="1">
      <alignment horizontal="center"/>
    </xf>
    <xf numFmtId="0" fontId="2" fillId="0" borderId="0" xfId="0" applyFont="1"/>
    <xf numFmtId="0" fontId="2" fillId="0" borderId="0" xfId="0" applyFont="1" applyAlignment="1">
      <alignment horizontal="left"/>
    </xf>
    <xf numFmtId="0" fontId="17" fillId="0" borderId="0" xfId="0" applyFont="1" applyAlignment="1">
      <alignment horizontal="center"/>
    </xf>
    <xf numFmtId="164" fontId="0" fillId="0" borderId="0" xfId="0" applyNumberFormat="1"/>
  </cellXfs>
  <cellStyles count="2">
    <cellStyle name="Normal" xfId="0" builtinId="0"/>
    <cellStyle name="Standard 2" xfId="1" xr:uid="{671BCBA2-24D9-416D-9406-A613867AA7B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E6805C-D913-4C41-BCB7-F482D7F2B2BF}">
  <dimension ref="A1:BW511"/>
  <sheetViews>
    <sheetView tabSelected="1" workbookViewId="0">
      <selection activeCell="C1" sqref="C1"/>
    </sheetView>
  </sheetViews>
  <sheetFormatPr defaultRowHeight="14.4" x14ac:dyDescent="0.55000000000000004"/>
  <cols>
    <col min="4" max="4" width="32.7890625" bestFit="1" customWidth="1"/>
    <col min="5" max="5" width="15.41796875" customWidth="1"/>
  </cols>
  <sheetData>
    <row r="1" spans="1:60" x14ac:dyDescent="0.55000000000000004">
      <c r="A1" t="s">
        <v>2310</v>
      </c>
      <c r="B1" t="s">
        <v>2311</v>
      </c>
      <c r="C1" t="s">
        <v>2312</v>
      </c>
      <c r="D1" t="s">
        <v>2313</v>
      </c>
      <c r="E1" t="s">
        <v>2314</v>
      </c>
      <c r="F1" t="s">
        <v>2315</v>
      </c>
      <c r="G1" t="s">
        <v>2316</v>
      </c>
      <c r="H1" t="s">
        <v>2317</v>
      </c>
      <c r="I1" t="s">
        <v>2318</v>
      </c>
      <c r="J1" t="s">
        <v>2319</v>
      </c>
      <c r="K1" t="s">
        <v>2320</v>
      </c>
      <c r="L1" t="s">
        <v>2321</v>
      </c>
      <c r="N1" t="s">
        <v>2322</v>
      </c>
      <c r="O1" t="s">
        <v>2323</v>
      </c>
      <c r="P1" t="s">
        <v>2324</v>
      </c>
      <c r="Q1" t="s">
        <v>2325</v>
      </c>
      <c r="R1" t="s">
        <v>2326</v>
      </c>
      <c r="S1" t="s">
        <v>2327</v>
      </c>
      <c r="T1" t="s">
        <v>2328</v>
      </c>
      <c r="U1" t="s">
        <v>2329</v>
      </c>
      <c r="V1" t="s">
        <v>2330</v>
      </c>
      <c r="W1" t="s">
        <v>2331</v>
      </c>
      <c r="X1" t="s">
        <v>2332</v>
      </c>
      <c r="Y1" t="s">
        <v>2333</v>
      </c>
      <c r="Z1" t="s">
        <v>2334</v>
      </c>
      <c r="AA1" t="s">
        <v>2335</v>
      </c>
      <c r="AB1" t="s">
        <v>2336</v>
      </c>
      <c r="AC1" t="s">
        <v>2337</v>
      </c>
      <c r="AD1" t="s">
        <v>2338</v>
      </c>
      <c r="AE1" t="s">
        <v>2339</v>
      </c>
      <c r="AF1" t="s">
        <v>2340</v>
      </c>
      <c r="AG1" t="s">
        <v>2341</v>
      </c>
      <c r="AH1" t="s">
        <v>2342</v>
      </c>
      <c r="AI1" t="s">
        <v>2343</v>
      </c>
      <c r="AJ1" t="s">
        <v>2344</v>
      </c>
      <c r="AK1" t="s">
        <v>89</v>
      </c>
      <c r="AL1" t="s">
        <v>110</v>
      </c>
      <c r="AM1" t="s">
        <v>2345</v>
      </c>
      <c r="AN1" t="s">
        <v>45</v>
      </c>
      <c r="AO1" t="s">
        <v>8</v>
      </c>
      <c r="AP1" t="s">
        <v>22</v>
      </c>
      <c r="AQ1">
        <v>1</v>
      </c>
      <c r="AR1">
        <v>2</v>
      </c>
      <c r="AS1">
        <v>3</v>
      </c>
      <c r="AT1">
        <v>4</v>
      </c>
      <c r="AU1">
        <v>5</v>
      </c>
      <c r="AV1">
        <v>6</v>
      </c>
      <c r="AW1">
        <v>1</v>
      </c>
      <c r="AX1">
        <v>2</v>
      </c>
      <c r="AY1">
        <v>3</v>
      </c>
      <c r="AZ1">
        <v>4</v>
      </c>
      <c r="BA1">
        <v>5</v>
      </c>
      <c r="BB1">
        <v>6</v>
      </c>
    </row>
    <row r="2" spans="1:60" x14ac:dyDescent="0.55000000000000004">
      <c r="E2" s="10" t="s">
        <v>2347</v>
      </c>
      <c r="F2" s="11"/>
      <c r="G2" s="11"/>
      <c r="H2" s="11"/>
      <c r="I2" s="11"/>
    </row>
    <row r="3" spans="1:60" x14ac:dyDescent="0.55000000000000004">
      <c r="B3" s="4" t="s">
        <v>2307</v>
      </c>
      <c r="C3" s="7" t="s">
        <v>2306</v>
      </c>
      <c r="D3" s="6" t="s">
        <v>2305</v>
      </c>
      <c r="E3" t="s">
        <v>2346</v>
      </c>
    </row>
    <row r="4" spans="1:60" x14ac:dyDescent="0.55000000000000004">
      <c r="A4" s="5" t="s">
        <v>2282</v>
      </c>
      <c r="AI4" s="5" t="s">
        <v>2308</v>
      </c>
      <c r="AJ4" s="5" t="s">
        <v>2309</v>
      </c>
    </row>
    <row r="5" spans="1:60" x14ac:dyDescent="0.55000000000000004">
      <c r="L5" t="s">
        <v>2303</v>
      </c>
    </row>
    <row r="6" spans="1:60" x14ac:dyDescent="0.55000000000000004">
      <c r="A6">
        <v>83</v>
      </c>
      <c r="B6">
        <v>1.9319999999999999</v>
      </c>
      <c r="C6">
        <v>407.22057999999998</v>
      </c>
      <c r="D6" t="s">
        <v>1873</v>
      </c>
      <c r="E6" t="s">
        <v>32</v>
      </c>
      <c r="F6" t="s">
        <v>2</v>
      </c>
      <c r="G6">
        <v>0.63</v>
      </c>
      <c r="H6" t="b">
        <v>1</v>
      </c>
      <c r="I6">
        <v>5.17</v>
      </c>
      <c r="J6">
        <v>407.22039999999998</v>
      </c>
      <c r="K6" t="s">
        <v>1874</v>
      </c>
      <c r="L6" t="s">
        <v>1875</v>
      </c>
      <c r="N6" t="s">
        <v>1876</v>
      </c>
      <c r="O6" t="s">
        <v>1888</v>
      </c>
      <c r="P6">
        <v>410</v>
      </c>
      <c r="Q6" t="b">
        <v>0</v>
      </c>
      <c r="R6" t="b">
        <v>1</v>
      </c>
      <c r="S6" t="b">
        <v>1</v>
      </c>
      <c r="T6" t="s">
        <v>7</v>
      </c>
      <c r="U6" t="b">
        <v>0</v>
      </c>
      <c r="V6" t="b">
        <v>0</v>
      </c>
      <c r="W6">
        <v>83</v>
      </c>
      <c r="X6">
        <v>0</v>
      </c>
      <c r="Y6">
        <v>0</v>
      </c>
      <c r="Z6">
        <v>0.99</v>
      </c>
      <c r="AA6">
        <v>0.54900000000000004</v>
      </c>
      <c r="AB6">
        <v>0.56799999999999995</v>
      </c>
      <c r="AC6">
        <v>0.61399999999999999</v>
      </c>
      <c r="AD6">
        <v>2</v>
      </c>
      <c r="AE6">
        <v>2</v>
      </c>
      <c r="AF6">
        <v>2.2850000000000001</v>
      </c>
      <c r="AG6">
        <v>216.86</v>
      </c>
      <c r="AH6" t="s">
        <v>1877</v>
      </c>
      <c r="AI6" t="s">
        <v>1878</v>
      </c>
      <c r="AJ6" t="s">
        <v>1879</v>
      </c>
      <c r="AK6">
        <v>8683</v>
      </c>
      <c r="AL6">
        <v>0</v>
      </c>
      <c r="AM6">
        <v>0</v>
      </c>
      <c r="AN6">
        <v>115489</v>
      </c>
      <c r="AO6">
        <v>123909</v>
      </c>
      <c r="AP6">
        <v>54853</v>
      </c>
      <c r="AQ6">
        <v>62959</v>
      </c>
      <c r="AR6">
        <v>64830</v>
      </c>
      <c r="AS6">
        <v>8682.625</v>
      </c>
      <c r="AT6">
        <v>0</v>
      </c>
      <c r="AU6">
        <v>0</v>
      </c>
      <c r="AV6">
        <v>115488.625</v>
      </c>
      <c r="AW6">
        <v>123909.125</v>
      </c>
      <c r="AX6">
        <v>54852.75</v>
      </c>
      <c r="AY6">
        <v>62958.625</v>
      </c>
      <c r="AZ6">
        <v>64830.125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</row>
    <row r="7" spans="1:60" x14ac:dyDescent="0.55000000000000004">
      <c r="A7">
        <v>97</v>
      </c>
      <c r="B7">
        <v>2.5990000000000002</v>
      </c>
      <c r="C7">
        <v>409.23577999999998</v>
      </c>
      <c r="D7" t="s">
        <v>1880</v>
      </c>
      <c r="E7" t="s">
        <v>32</v>
      </c>
      <c r="F7" t="s">
        <v>2</v>
      </c>
      <c r="G7">
        <v>0.63</v>
      </c>
      <c r="H7" t="b">
        <v>1</v>
      </c>
      <c r="I7">
        <v>5.843</v>
      </c>
      <c r="J7">
        <v>409.23611</v>
      </c>
      <c r="K7" t="s">
        <v>1881</v>
      </c>
      <c r="L7" t="s">
        <v>1875</v>
      </c>
      <c r="N7" t="s">
        <v>1882</v>
      </c>
      <c r="O7" t="s">
        <v>1895</v>
      </c>
      <c r="P7">
        <v>410</v>
      </c>
      <c r="Q7" t="b">
        <v>0</v>
      </c>
      <c r="R7" t="b">
        <v>1</v>
      </c>
      <c r="S7" t="b">
        <v>1</v>
      </c>
      <c r="T7" t="s">
        <v>7</v>
      </c>
      <c r="U7" t="b">
        <v>0</v>
      </c>
      <c r="V7" t="b">
        <v>0</v>
      </c>
      <c r="W7">
        <v>97</v>
      </c>
      <c r="X7">
        <v>0</v>
      </c>
      <c r="Y7">
        <v>0</v>
      </c>
      <c r="Z7">
        <v>1</v>
      </c>
      <c r="AA7">
        <v>0.74199999999999999</v>
      </c>
      <c r="AB7">
        <v>0.64700000000000002</v>
      </c>
      <c r="AC7">
        <v>0.71299999999999997</v>
      </c>
      <c r="AD7">
        <v>3</v>
      </c>
      <c r="AE7">
        <v>2</v>
      </c>
      <c r="AF7">
        <v>2.3879999999999999</v>
      </c>
      <c r="AG7">
        <v>1310.48</v>
      </c>
      <c r="AH7" t="s">
        <v>1877</v>
      </c>
      <c r="AI7" t="s">
        <v>1883</v>
      </c>
      <c r="AJ7" t="s">
        <v>1884</v>
      </c>
      <c r="AK7">
        <v>74482</v>
      </c>
      <c r="AL7">
        <v>0</v>
      </c>
      <c r="AM7">
        <v>0</v>
      </c>
      <c r="AN7">
        <v>1104203</v>
      </c>
      <c r="AO7">
        <v>1251442</v>
      </c>
      <c r="AP7">
        <v>559155</v>
      </c>
      <c r="AQ7">
        <v>190238</v>
      </c>
      <c r="AR7">
        <v>700746</v>
      </c>
      <c r="AS7">
        <v>74482.375</v>
      </c>
      <c r="AT7">
        <v>0</v>
      </c>
      <c r="AU7">
        <v>0</v>
      </c>
      <c r="AV7">
        <v>1104203.25</v>
      </c>
      <c r="AW7">
        <v>1251442.5</v>
      </c>
      <c r="AX7">
        <v>559155.0625</v>
      </c>
      <c r="AY7">
        <v>190237.9375</v>
      </c>
      <c r="AZ7">
        <v>700746.5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</row>
    <row r="8" spans="1:60" x14ac:dyDescent="0.55000000000000004">
      <c r="A8">
        <v>224</v>
      </c>
      <c r="B8">
        <v>1.724</v>
      </c>
      <c r="C8">
        <v>431.22030999999998</v>
      </c>
      <c r="D8" t="s">
        <v>1885</v>
      </c>
      <c r="E8" t="s">
        <v>32</v>
      </c>
      <c r="F8" t="s">
        <v>2</v>
      </c>
      <c r="G8">
        <v>0.63</v>
      </c>
      <c r="H8" t="b">
        <v>1</v>
      </c>
      <c r="I8">
        <v>5.5730000000000004</v>
      </c>
      <c r="J8">
        <v>431.22039999999998</v>
      </c>
      <c r="K8" t="s">
        <v>1886</v>
      </c>
      <c r="L8" t="s">
        <v>1875</v>
      </c>
      <c r="N8" t="s">
        <v>1887</v>
      </c>
      <c r="O8" t="s">
        <v>1901</v>
      </c>
      <c r="P8">
        <v>410</v>
      </c>
      <c r="Q8" t="b">
        <v>0</v>
      </c>
      <c r="R8" t="b">
        <v>1</v>
      </c>
      <c r="S8" t="b">
        <v>1</v>
      </c>
      <c r="T8" t="s">
        <v>7</v>
      </c>
      <c r="U8" t="b">
        <v>0</v>
      </c>
      <c r="V8" t="b">
        <v>0</v>
      </c>
      <c r="W8">
        <v>224</v>
      </c>
      <c r="X8">
        <v>0</v>
      </c>
      <c r="Y8">
        <v>0</v>
      </c>
      <c r="Z8">
        <v>1</v>
      </c>
      <c r="AA8">
        <v>0.38300000000000001</v>
      </c>
      <c r="AB8">
        <v>0.38700000000000001</v>
      </c>
      <c r="AC8">
        <v>0.61099999999999999</v>
      </c>
      <c r="AD8">
        <v>2</v>
      </c>
      <c r="AE8">
        <v>2</v>
      </c>
      <c r="AF8">
        <v>2.2120000000000002</v>
      </c>
      <c r="AG8">
        <v>113.79</v>
      </c>
      <c r="AH8" t="s">
        <v>1889</v>
      </c>
      <c r="AI8" t="s">
        <v>1890</v>
      </c>
      <c r="AJ8" t="s">
        <v>1891</v>
      </c>
      <c r="AK8">
        <v>4443</v>
      </c>
      <c r="AL8">
        <v>0</v>
      </c>
      <c r="AM8">
        <v>0</v>
      </c>
      <c r="AN8">
        <v>61840</v>
      </c>
      <c r="AO8">
        <v>69949</v>
      </c>
      <c r="AP8">
        <v>29269</v>
      </c>
      <c r="AQ8">
        <v>35467</v>
      </c>
      <c r="AR8">
        <v>35714</v>
      </c>
      <c r="AS8">
        <v>4442.9375</v>
      </c>
      <c r="AT8">
        <v>0</v>
      </c>
      <c r="AU8">
        <v>0</v>
      </c>
      <c r="AV8">
        <v>61839.8125</v>
      </c>
      <c r="AW8">
        <v>69949.0625</v>
      </c>
      <c r="AX8">
        <v>29269.125</v>
      </c>
      <c r="AY8">
        <v>35467.125</v>
      </c>
      <c r="AZ8">
        <v>35714.375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</row>
    <row r="9" spans="1:60" x14ac:dyDescent="0.55000000000000004">
      <c r="A9">
        <v>233</v>
      </c>
      <c r="B9">
        <v>2.085</v>
      </c>
      <c r="C9">
        <v>433.23590000000002</v>
      </c>
      <c r="D9" t="s">
        <v>1892</v>
      </c>
      <c r="E9" t="s">
        <v>32</v>
      </c>
      <c r="F9" t="s">
        <v>2</v>
      </c>
      <c r="G9">
        <v>0.75</v>
      </c>
      <c r="H9" t="b">
        <v>1</v>
      </c>
      <c r="I9">
        <v>6.0819999999999999</v>
      </c>
      <c r="J9">
        <v>433.23611</v>
      </c>
      <c r="K9" t="s">
        <v>1893</v>
      </c>
      <c r="L9" t="s">
        <v>1875</v>
      </c>
      <c r="N9" t="s">
        <v>1894</v>
      </c>
      <c r="O9" t="s">
        <v>1908</v>
      </c>
      <c r="P9">
        <v>410</v>
      </c>
      <c r="Q9" t="b">
        <v>0</v>
      </c>
      <c r="R9" t="b">
        <v>1</v>
      </c>
      <c r="S9" t="b">
        <v>1</v>
      </c>
      <c r="T9" t="s">
        <v>7</v>
      </c>
      <c r="U9" t="b">
        <v>0</v>
      </c>
      <c r="V9" t="b">
        <v>0</v>
      </c>
      <c r="W9">
        <v>233</v>
      </c>
      <c r="X9">
        <v>0</v>
      </c>
      <c r="Y9">
        <v>0</v>
      </c>
      <c r="Z9">
        <v>1</v>
      </c>
      <c r="AA9">
        <v>0.755</v>
      </c>
      <c r="AB9">
        <v>0.65800000000000003</v>
      </c>
      <c r="AC9">
        <v>0.72599999999999998</v>
      </c>
      <c r="AD9">
        <v>3</v>
      </c>
      <c r="AE9">
        <v>2</v>
      </c>
      <c r="AF9">
        <v>2.4</v>
      </c>
      <c r="AG9">
        <v>3962.4</v>
      </c>
      <c r="AH9" t="s">
        <v>1877</v>
      </c>
      <c r="AI9" t="s">
        <v>1896</v>
      </c>
      <c r="AJ9" t="s">
        <v>1897</v>
      </c>
      <c r="AK9">
        <v>146874</v>
      </c>
      <c r="AL9">
        <v>0</v>
      </c>
      <c r="AM9">
        <v>0</v>
      </c>
      <c r="AN9">
        <v>2115904</v>
      </c>
      <c r="AO9">
        <v>2350666</v>
      </c>
      <c r="AP9">
        <v>1083884</v>
      </c>
      <c r="AQ9">
        <v>1348771</v>
      </c>
      <c r="AR9">
        <v>1262463</v>
      </c>
      <c r="AS9">
        <v>146874.0625</v>
      </c>
      <c r="AT9">
        <v>0</v>
      </c>
      <c r="AU9">
        <v>0</v>
      </c>
      <c r="AV9">
        <v>2115904.4375</v>
      </c>
      <c r="AW9">
        <v>2350666.4375</v>
      </c>
      <c r="AX9">
        <v>1083884</v>
      </c>
      <c r="AY9">
        <v>1348770.625</v>
      </c>
      <c r="AZ9">
        <v>1262462.8125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</row>
    <row r="10" spans="1:60" x14ac:dyDescent="0.55000000000000004">
      <c r="A10">
        <v>239</v>
      </c>
      <c r="B10">
        <v>2.726</v>
      </c>
      <c r="C10">
        <v>435.25143000000003</v>
      </c>
      <c r="D10" t="s">
        <v>1898</v>
      </c>
      <c r="E10" t="s">
        <v>32</v>
      </c>
      <c r="F10" t="s">
        <v>2</v>
      </c>
      <c r="G10">
        <v>0.63</v>
      </c>
      <c r="H10" t="b">
        <v>1</v>
      </c>
      <c r="I10">
        <v>6.6589999999999998</v>
      </c>
      <c r="J10">
        <v>435.25171</v>
      </c>
      <c r="K10" t="s">
        <v>1899</v>
      </c>
      <c r="L10" t="s">
        <v>1875</v>
      </c>
      <c r="N10" t="s">
        <v>1900</v>
      </c>
      <c r="O10" t="s">
        <v>1914</v>
      </c>
      <c r="P10">
        <v>410</v>
      </c>
      <c r="Q10" t="b">
        <v>0</v>
      </c>
      <c r="R10" t="b">
        <v>1</v>
      </c>
      <c r="S10" t="b">
        <v>1</v>
      </c>
      <c r="T10" t="s">
        <v>7</v>
      </c>
      <c r="U10" t="b">
        <v>0</v>
      </c>
      <c r="V10" t="b">
        <v>0</v>
      </c>
      <c r="W10">
        <v>239</v>
      </c>
      <c r="X10">
        <v>0</v>
      </c>
      <c r="Y10">
        <v>0</v>
      </c>
      <c r="Z10">
        <v>1</v>
      </c>
      <c r="AA10">
        <v>0.56399999999999995</v>
      </c>
      <c r="AB10">
        <v>0.59199999999999997</v>
      </c>
      <c r="AC10">
        <v>0.61599999999999999</v>
      </c>
      <c r="AD10">
        <v>2</v>
      </c>
      <c r="AE10">
        <v>2</v>
      </c>
      <c r="AF10">
        <v>2.2970000000000002</v>
      </c>
      <c r="AG10">
        <v>566.02</v>
      </c>
      <c r="AH10" t="s">
        <v>1877</v>
      </c>
      <c r="AI10" t="s">
        <v>1902</v>
      </c>
      <c r="AJ10" t="s">
        <v>1903</v>
      </c>
      <c r="AK10">
        <v>31980</v>
      </c>
      <c r="AL10">
        <v>0</v>
      </c>
      <c r="AM10">
        <v>0</v>
      </c>
      <c r="AN10">
        <v>492189</v>
      </c>
      <c r="AO10">
        <v>531074</v>
      </c>
      <c r="AP10">
        <v>257160</v>
      </c>
      <c r="AQ10">
        <v>99590</v>
      </c>
      <c r="AR10">
        <v>315884</v>
      </c>
      <c r="AS10">
        <v>31979.5</v>
      </c>
      <c r="AT10">
        <v>0</v>
      </c>
      <c r="AU10">
        <v>0</v>
      </c>
      <c r="AV10">
        <v>492189.0625</v>
      </c>
      <c r="AW10">
        <v>531073.875</v>
      </c>
      <c r="AX10">
        <v>257159.75</v>
      </c>
      <c r="AY10">
        <v>99590.125</v>
      </c>
      <c r="AZ10">
        <v>315884.3125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</row>
    <row r="11" spans="1:60" x14ac:dyDescent="0.55000000000000004">
      <c r="A11">
        <v>242</v>
      </c>
      <c r="B11">
        <v>3.5209999999999999</v>
      </c>
      <c r="C11">
        <v>436.28348</v>
      </c>
      <c r="D11" t="s">
        <v>1904</v>
      </c>
      <c r="E11" t="s">
        <v>32</v>
      </c>
      <c r="F11" t="s">
        <v>2</v>
      </c>
      <c r="G11">
        <v>0.5</v>
      </c>
      <c r="H11" t="b">
        <v>1</v>
      </c>
      <c r="I11">
        <v>6.2169999999999996</v>
      </c>
      <c r="J11">
        <v>436.28329000000002</v>
      </c>
      <c r="K11" t="s">
        <v>1905</v>
      </c>
      <c r="L11" t="s">
        <v>1906</v>
      </c>
      <c r="M11" t="s">
        <v>1932</v>
      </c>
      <c r="N11" t="s">
        <v>1907</v>
      </c>
      <c r="O11" t="s">
        <v>1920</v>
      </c>
      <c r="P11">
        <v>410</v>
      </c>
      <c r="Q11" t="b">
        <v>0</v>
      </c>
      <c r="R11" t="b">
        <v>1</v>
      </c>
      <c r="S11" t="b">
        <v>1</v>
      </c>
      <c r="T11" t="s">
        <v>7</v>
      </c>
      <c r="U11" t="b">
        <v>0</v>
      </c>
      <c r="V11" t="b">
        <v>0</v>
      </c>
      <c r="W11">
        <v>242</v>
      </c>
      <c r="X11">
        <v>0</v>
      </c>
      <c r="Y11">
        <v>0</v>
      </c>
      <c r="Z11">
        <v>1</v>
      </c>
      <c r="AA11">
        <v>0.79900000000000004</v>
      </c>
      <c r="AB11">
        <v>0.82</v>
      </c>
      <c r="AC11">
        <v>0.97599999999999998</v>
      </c>
      <c r="AD11">
        <v>5</v>
      </c>
      <c r="AE11">
        <v>2</v>
      </c>
      <c r="AF11">
        <v>2.5489999999999999</v>
      </c>
      <c r="AG11">
        <v>2259.96</v>
      </c>
      <c r="AH11" t="s">
        <v>1877</v>
      </c>
      <c r="AI11" t="s">
        <v>1909</v>
      </c>
      <c r="AJ11" t="s">
        <v>1910</v>
      </c>
      <c r="AK11">
        <v>57727</v>
      </c>
      <c r="AL11">
        <v>0</v>
      </c>
      <c r="AM11">
        <v>0</v>
      </c>
      <c r="AN11">
        <v>684277</v>
      </c>
      <c r="AO11">
        <v>755269</v>
      </c>
      <c r="AP11">
        <v>319985</v>
      </c>
      <c r="AQ11">
        <v>169485</v>
      </c>
      <c r="AR11">
        <v>380337</v>
      </c>
      <c r="AS11">
        <v>57727.4375</v>
      </c>
      <c r="AT11">
        <v>0</v>
      </c>
      <c r="AU11">
        <v>0</v>
      </c>
      <c r="AV11">
        <v>684277</v>
      </c>
      <c r="AW11">
        <v>755269.3125</v>
      </c>
      <c r="AX11">
        <v>319985.0625</v>
      </c>
      <c r="AY11">
        <v>169484.75</v>
      </c>
      <c r="AZ11">
        <v>380337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</row>
    <row r="12" spans="1:60" x14ac:dyDescent="0.55000000000000004">
      <c r="A12">
        <v>246</v>
      </c>
      <c r="B12">
        <v>3.9620000000000002</v>
      </c>
      <c r="C12">
        <v>437.26755000000003</v>
      </c>
      <c r="D12" t="s">
        <v>1911</v>
      </c>
      <c r="E12" t="s">
        <v>32</v>
      </c>
      <c r="F12" t="s">
        <v>2</v>
      </c>
      <c r="G12">
        <v>0.13</v>
      </c>
      <c r="H12" t="b">
        <v>1</v>
      </c>
      <c r="I12">
        <v>7.5419999999999998</v>
      </c>
      <c r="J12">
        <v>437.26740000000001</v>
      </c>
      <c r="K12" t="s">
        <v>1912</v>
      </c>
      <c r="L12" t="s">
        <v>1875</v>
      </c>
      <c r="N12" t="s">
        <v>1913</v>
      </c>
      <c r="O12" t="s">
        <v>1927</v>
      </c>
      <c r="P12">
        <v>430</v>
      </c>
      <c r="Q12" t="b">
        <v>0</v>
      </c>
      <c r="R12" t="b">
        <v>1</v>
      </c>
      <c r="S12" t="b">
        <v>1</v>
      </c>
      <c r="T12" t="s">
        <v>7</v>
      </c>
      <c r="U12" t="b">
        <v>0</v>
      </c>
      <c r="V12" t="b">
        <v>0</v>
      </c>
      <c r="W12">
        <v>246</v>
      </c>
      <c r="X12">
        <v>0</v>
      </c>
      <c r="Y12">
        <v>0</v>
      </c>
      <c r="Z12">
        <v>1</v>
      </c>
      <c r="AA12">
        <v>0.53700000000000003</v>
      </c>
      <c r="AB12">
        <v>0.53500000000000003</v>
      </c>
      <c r="AC12">
        <v>0.61</v>
      </c>
      <c r="AD12">
        <v>2</v>
      </c>
      <c r="AE12">
        <v>2</v>
      </c>
      <c r="AF12">
        <v>2.2770000000000001</v>
      </c>
      <c r="AG12">
        <v>271.07</v>
      </c>
      <c r="AH12" t="s">
        <v>1889</v>
      </c>
      <c r="AI12" t="s">
        <v>1915</v>
      </c>
      <c r="AJ12" t="s">
        <v>1916</v>
      </c>
      <c r="AK12">
        <v>8848</v>
      </c>
      <c r="AL12">
        <v>0</v>
      </c>
      <c r="AM12">
        <v>0</v>
      </c>
      <c r="AN12">
        <v>42866</v>
      </c>
      <c r="AO12">
        <v>68012</v>
      </c>
      <c r="AP12">
        <v>32690</v>
      </c>
      <c r="AQ12">
        <v>88104</v>
      </c>
      <c r="AR12">
        <v>53122</v>
      </c>
      <c r="AS12">
        <v>8847.6875</v>
      </c>
      <c r="AT12">
        <v>0</v>
      </c>
      <c r="AU12">
        <v>0</v>
      </c>
      <c r="AV12">
        <v>42865.875</v>
      </c>
      <c r="AW12">
        <v>68011.875</v>
      </c>
      <c r="AX12">
        <v>32690.375</v>
      </c>
      <c r="AY12">
        <v>88104</v>
      </c>
      <c r="AZ12">
        <v>53122.0625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</row>
    <row r="13" spans="1:60" x14ac:dyDescent="0.55000000000000004">
      <c r="A13">
        <v>255</v>
      </c>
      <c r="B13">
        <v>3.6749999999999998</v>
      </c>
      <c r="C13">
        <v>438.29964999999999</v>
      </c>
      <c r="D13" t="s">
        <v>1917</v>
      </c>
      <c r="E13" t="s">
        <v>32</v>
      </c>
      <c r="F13" t="s">
        <v>2</v>
      </c>
      <c r="G13">
        <v>0.5</v>
      </c>
      <c r="H13" t="b">
        <v>1</v>
      </c>
      <c r="I13">
        <v>6.3929999999999998</v>
      </c>
      <c r="J13">
        <v>438.29901000000001</v>
      </c>
      <c r="K13" t="s">
        <v>1918</v>
      </c>
      <c r="L13" t="s">
        <v>1906</v>
      </c>
      <c r="M13" t="s">
        <v>1932</v>
      </c>
      <c r="N13" t="s">
        <v>1919</v>
      </c>
      <c r="O13" t="s">
        <v>1934</v>
      </c>
      <c r="P13">
        <v>410</v>
      </c>
      <c r="Q13" t="b">
        <v>0</v>
      </c>
      <c r="R13" t="b">
        <v>1</v>
      </c>
      <c r="S13" t="b">
        <v>1</v>
      </c>
      <c r="T13" t="s">
        <v>7</v>
      </c>
      <c r="U13" t="b">
        <v>0</v>
      </c>
      <c r="V13" t="b">
        <v>0</v>
      </c>
      <c r="W13">
        <v>255</v>
      </c>
      <c r="X13">
        <v>0</v>
      </c>
      <c r="Y13">
        <v>0</v>
      </c>
      <c r="Z13">
        <v>0.99</v>
      </c>
      <c r="AA13">
        <v>0.67200000000000004</v>
      </c>
      <c r="AB13">
        <v>0.69</v>
      </c>
      <c r="AC13">
        <v>0.97099999999999997</v>
      </c>
      <c r="AD13">
        <v>4</v>
      </c>
      <c r="AE13">
        <v>2</v>
      </c>
      <c r="AF13">
        <v>2.4910000000000001</v>
      </c>
      <c r="AG13">
        <v>193.11</v>
      </c>
      <c r="AH13" t="s">
        <v>1877</v>
      </c>
      <c r="AI13" t="s">
        <v>1921</v>
      </c>
      <c r="AJ13" t="s">
        <v>1922</v>
      </c>
      <c r="AK13">
        <v>8490</v>
      </c>
      <c r="AL13">
        <v>0</v>
      </c>
      <c r="AM13">
        <v>0</v>
      </c>
      <c r="AN13">
        <v>89550</v>
      </c>
      <c r="AO13">
        <v>98235</v>
      </c>
      <c r="AP13">
        <v>48470</v>
      </c>
      <c r="AQ13">
        <v>21191</v>
      </c>
      <c r="AR13">
        <v>59325</v>
      </c>
      <c r="AS13">
        <v>8490.125</v>
      </c>
      <c r="AT13">
        <v>0</v>
      </c>
      <c r="AU13">
        <v>0</v>
      </c>
      <c r="AV13">
        <v>89550.1875</v>
      </c>
      <c r="AW13">
        <v>98235.25</v>
      </c>
      <c r="AX13">
        <v>48470.25</v>
      </c>
      <c r="AY13">
        <v>21190.75</v>
      </c>
      <c r="AZ13">
        <v>59324.5625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</row>
    <row r="14" spans="1:60" x14ac:dyDescent="0.55000000000000004">
      <c r="A14">
        <v>338</v>
      </c>
      <c r="B14">
        <v>1.331</v>
      </c>
      <c r="C14">
        <v>448.30709999999999</v>
      </c>
      <c r="D14" t="s">
        <v>1923</v>
      </c>
      <c r="E14" t="s">
        <v>32</v>
      </c>
      <c r="F14" t="s">
        <v>2</v>
      </c>
      <c r="G14">
        <v>0.75</v>
      </c>
      <c r="H14" t="b">
        <v>1</v>
      </c>
      <c r="I14">
        <v>3.47</v>
      </c>
      <c r="J14">
        <v>448.30685</v>
      </c>
      <c r="K14" t="s">
        <v>1924</v>
      </c>
      <c r="L14" t="s">
        <v>1925</v>
      </c>
      <c r="M14" t="s">
        <v>2304</v>
      </c>
      <c r="N14" t="s">
        <v>1926</v>
      </c>
      <c r="O14" t="s">
        <v>1940</v>
      </c>
      <c r="P14">
        <v>410</v>
      </c>
      <c r="Q14" t="b">
        <v>0</v>
      </c>
      <c r="R14" t="b">
        <v>1</v>
      </c>
      <c r="S14" t="b">
        <v>1</v>
      </c>
      <c r="T14" t="s">
        <v>7</v>
      </c>
      <c r="U14" t="b">
        <v>0</v>
      </c>
      <c r="V14" t="b">
        <v>0</v>
      </c>
      <c r="W14">
        <v>338</v>
      </c>
      <c r="X14">
        <v>0</v>
      </c>
      <c r="Y14">
        <v>0</v>
      </c>
      <c r="Z14">
        <v>0.99</v>
      </c>
      <c r="AA14">
        <v>0.876</v>
      </c>
      <c r="AB14">
        <v>0.92500000000000004</v>
      </c>
      <c r="AC14">
        <v>0.95199999999999996</v>
      </c>
      <c r="AD14">
        <v>6</v>
      </c>
      <c r="AE14">
        <v>1</v>
      </c>
      <c r="AF14">
        <v>1.9339999999999999</v>
      </c>
      <c r="AG14">
        <v>1796.51</v>
      </c>
      <c r="AH14" t="s">
        <v>1877</v>
      </c>
      <c r="AI14" t="s">
        <v>1928</v>
      </c>
      <c r="AJ14" t="s">
        <v>1929</v>
      </c>
      <c r="AK14">
        <v>208333</v>
      </c>
      <c r="AL14">
        <v>0</v>
      </c>
      <c r="AM14">
        <v>0</v>
      </c>
      <c r="AN14">
        <v>2309439</v>
      </c>
      <c r="AO14">
        <v>2486871</v>
      </c>
      <c r="AP14">
        <v>1305532</v>
      </c>
      <c r="AQ14">
        <v>1591538</v>
      </c>
      <c r="AR14">
        <v>1569090</v>
      </c>
      <c r="AS14">
        <v>208332.625</v>
      </c>
      <c r="AT14">
        <v>0</v>
      </c>
      <c r="AU14">
        <v>0</v>
      </c>
      <c r="AV14">
        <v>2309438.625</v>
      </c>
      <c r="AW14">
        <v>2486870.5625</v>
      </c>
      <c r="AX14">
        <v>1305531.875</v>
      </c>
      <c r="AY14">
        <v>1591537.6875</v>
      </c>
      <c r="AZ14">
        <v>1569090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</row>
    <row r="15" spans="1:60" x14ac:dyDescent="0.55000000000000004">
      <c r="A15">
        <v>355</v>
      </c>
      <c r="B15">
        <v>3.0579999999999998</v>
      </c>
      <c r="C15">
        <v>452.27807999999999</v>
      </c>
      <c r="D15" t="s">
        <v>1930</v>
      </c>
      <c r="E15" t="s">
        <v>32</v>
      </c>
      <c r="F15" t="s">
        <v>2</v>
      </c>
      <c r="G15">
        <v>0.5</v>
      </c>
      <c r="H15" t="b">
        <v>1</v>
      </c>
      <c r="I15">
        <v>6.2370000000000001</v>
      </c>
      <c r="J15">
        <v>452.27829000000003</v>
      </c>
      <c r="K15" t="s">
        <v>1931</v>
      </c>
      <c r="L15" t="s">
        <v>1932</v>
      </c>
      <c r="M15" t="s">
        <v>1932</v>
      </c>
      <c r="N15" t="s">
        <v>1933</v>
      </c>
      <c r="O15" t="s">
        <v>1947</v>
      </c>
      <c r="P15">
        <v>410</v>
      </c>
      <c r="Q15" t="b">
        <v>0</v>
      </c>
      <c r="R15" t="b">
        <v>1</v>
      </c>
      <c r="S15" t="b">
        <v>1</v>
      </c>
      <c r="T15" t="s">
        <v>7</v>
      </c>
      <c r="U15" t="b">
        <v>0</v>
      </c>
      <c r="V15" t="b">
        <v>0</v>
      </c>
      <c r="W15">
        <v>355</v>
      </c>
      <c r="X15">
        <v>0</v>
      </c>
      <c r="Y15">
        <v>0</v>
      </c>
      <c r="Z15">
        <v>1</v>
      </c>
      <c r="AA15">
        <v>0.63</v>
      </c>
      <c r="AB15">
        <v>0.73699999999999999</v>
      </c>
      <c r="AC15">
        <v>0.81100000000000005</v>
      </c>
      <c r="AD15">
        <v>3</v>
      </c>
      <c r="AE15">
        <v>2</v>
      </c>
      <c r="AF15">
        <v>2.4260000000000002</v>
      </c>
      <c r="AG15">
        <v>7706.98</v>
      </c>
      <c r="AH15" t="s">
        <v>1877</v>
      </c>
      <c r="AI15" t="s">
        <v>1935</v>
      </c>
      <c r="AJ15" t="s">
        <v>1936</v>
      </c>
      <c r="AK15">
        <v>0</v>
      </c>
      <c r="AL15">
        <v>94232</v>
      </c>
      <c r="AM15">
        <v>0</v>
      </c>
      <c r="AN15">
        <v>2088640</v>
      </c>
      <c r="AO15">
        <v>2223076</v>
      </c>
      <c r="AP15">
        <v>1019013</v>
      </c>
      <c r="AQ15">
        <v>538058</v>
      </c>
      <c r="AR15">
        <v>1220130</v>
      </c>
      <c r="AS15">
        <v>0</v>
      </c>
      <c r="AT15">
        <v>94232.375</v>
      </c>
      <c r="AU15">
        <v>0</v>
      </c>
      <c r="AV15">
        <v>2088639.75</v>
      </c>
      <c r="AW15">
        <v>2223076.1875</v>
      </c>
      <c r="AX15">
        <v>1019012.5625</v>
      </c>
      <c r="AY15">
        <v>538057.875</v>
      </c>
      <c r="AZ15">
        <v>1220130.4375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</row>
    <row r="16" spans="1:60" x14ac:dyDescent="0.55000000000000004">
      <c r="A16">
        <v>386</v>
      </c>
      <c r="B16">
        <v>1.67</v>
      </c>
      <c r="C16">
        <v>455.22034000000002</v>
      </c>
      <c r="D16" t="s">
        <v>1937</v>
      </c>
      <c r="E16" t="s">
        <v>32</v>
      </c>
      <c r="F16" t="s">
        <v>2</v>
      </c>
      <c r="G16">
        <v>0.63</v>
      </c>
      <c r="H16" t="b">
        <v>1</v>
      </c>
      <c r="I16">
        <v>5.9779999999999998</v>
      </c>
      <c r="J16">
        <v>455.22039999999998</v>
      </c>
      <c r="K16" t="s">
        <v>1938</v>
      </c>
      <c r="L16" t="s">
        <v>1875</v>
      </c>
      <c r="N16" t="s">
        <v>1939</v>
      </c>
      <c r="O16" t="s">
        <v>1953</v>
      </c>
      <c r="P16">
        <v>410</v>
      </c>
      <c r="Q16" t="b">
        <v>0</v>
      </c>
      <c r="R16" t="b">
        <v>1</v>
      </c>
      <c r="S16" t="b">
        <v>1</v>
      </c>
      <c r="T16" t="s">
        <v>7</v>
      </c>
      <c r="U16" t="b">
        <v>0</v>
      </c>
      <c r="V16" t="b">
        <v>0</v>
      </c>
      <c r="W16">
        <v>386</v>
      </c>
      <c r="X16">
        <v>0</v>
      </c>
      <c r="Y16">
        <v>0</v>
      </c>
      <c r="Z16">
        <v>1</v>
      </c>
      <c r="AA16">
        <v>0.56399999999999995</v>
      </c>
      <c r="AB16">
        <v>0.436</v>
      </c>
      <c r="AC16">
        <v>0.754</v>
      </c>
      <c r="AD16">
        <v>3</v>
      </c>
      <c r="AE16">
        <v>2</v>
      </c>
      <c r="AF16">
        <v>2.323</v>
      </c>
      <c r="AG16">
        <v>158</v>
      </c>
      <c r="AH16" t="s">
        <v>1941</v>
      </c>
      <c r="AI16" t="s">
        <v>1942</v>
      </c>
      <c r="AJ16" t="s">
        <v>1943</v>
      </c>
      <c r="AK16">
        <v>0</v>
      </c>
      <c r="AL16">
        <v>7265</v>
      </c>
      <c r="AM16">
        <v>0</v>
      </c>
      <c r="AN16">
        <v>72276</v>
      </c>
      <c r="AO16">
        <v>81256</v>
      </c>
      <c r="AP16">
        <v>35312</v>
      </c>
      <c r="AQ16">
        <v>44305</v>
      </c>
      <c r="AR16">
        <v>43888</v>
      </c>
      <c r="AS16">
        <v>0</v>
      </c>
      <c r="AT16">
        <v>7264.8125</v>
      </c>
      <c r="AU16">
        <v>0</v>
      </c>
      <c r="AV16">
        <v>72275.6875</v>
      </c>
      <c r="AW16">
        <v>81255.5625</v>
      </c>
      <c r="AX16">
        <v>35312.5</v>
      </c>
      <c r="AY16">
        <v>44305.25</v>
      </c>
      <c r="AZ16">
        <v>43887.875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</row>
    <row r="17" spans="1:60" x14ac:dyDescent="0.55000000000000004">
      <c r="A17">
        <v>393</v>
      </c>
      <c r="B17">
        <v>1.982</v>
      </c>
      <c r="C17">
        <v>457.23630000000003</v>
      </c>
      <c r="D17" t="s">
        <v>1944</v>
      </c>
      <c r="E17" t="s">
        <v>32</v>
      </c>
      <c r="F17" t="s">
        <v>2</v>
      </c>
      <c r="G17">
        <v>0.75</v>
      </c>
      <c r="H17" t="b">
        <v>1</v>
      </c>
      <c r="I17">
        <v>5.5369999999999999</v>
      </c>
      <c r="J17">
        <v>457.23611</v>
      </c>
      <c r="K17" t="s">
        <v>1945</v>
      </c>
      <c r="L17" t="s">
        <v>1875</v>
      </c>
      <c r="N17" t="s">
        <v>1946</v>
      </c>
      <c r="O17" t="s">
        <v>1959</v>
      </c>
      <c r="P17">
        <v>410</v>
      </c>
      <c r="Q17" t="b">
        <v>0</v>
      </c>
      <c r="R17" t="b">
        <v>1</v>
      </c>
      <c r="S17" t="b">
        <v>1</v>
      </c>
      <c r="T17" t="s">
        <v>7</v>
      </c>
      <c r="U17" t="b">
        <v>0</v>
      </c>
      <c r="V17" t="b">
        <v>0</v>
      </c>
      <c r="W17">
        <v>393</v>
      </c>
      <c r="X17">
        <v>0</v>
      </c>
      <c r="Y17">
        <v>0</v>
      </c>
      <c r="Z17">
        <v>1</v>
      </c>
      <c r="AA17">
        <v>0.73399999999999999</v>
      </c>
      <c r="AB17">
        <v>0.79100000000000004</v>
      </c>
      <c r="AC17">
        <v>0.71</v>
      </c>
      <c r="AD17">
        <v>3</v>
      </c>
      <c r="AE17">
        <v>2</v>
      </c>
      <c r="AF17">
        <v>2.4159999999999999</v>
      </c>
      <c r="AG17">
        <v>1182.49</v>
      </c>
      <c r="AH17" t="s">
        <v>1877</v>
      </c>
      <c r="AI17" t="s">
        <v>1948</v>
      </c>
      <c r="AJ17" t="s">
        <v>1949</v>
      </c>
      <c r="AK17">
        <v>0</v>
      </c>
      <c r="AL17">
        <v>79849</v>
      </c>
      <c r="AM17">
        <v>0</v>
      </c>
      <c r="AN17">
        <v>939137</v>
      </c>
      <c r="AO17">
        <v>1027713</v>
      </c>
      <c r="AP17">
        <v>466942</v>
      </c>
      <c r="AQ17">
        <v>562482</v>
      </c>
      <c r="AR17">
        <v>535236</v>
      </c>
      <c r="AS17">
        <v>0</v>
      </c>
      <c r="AT17">
        <v>79849.1875</v>
      </c>
      <c r="AU17">
        <v>0</v>
      </c>
      <c r="AV17">
        <v>939137.125</v>
      </c>
      <c r="AW17">
        <v>1027712.6875</v>
      </c>
      <c r="AX17">
        <v>466942.4375</v>
      </c>
      <c r="AY17">
        <v>562482</v>
      </c>
      <c r="AZ17">
        <v>535236.25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</row>
    <row r="18" spans="1:60" x14ac:dyDescent="0.55000000000000004">
      <c r="A18">
        <v>402</v>
      </c>
      <c r="B18">
        <v>2.294</v>
      </c>
      <c r="C18">
        <v>459.25177000000002</v>
      </c>
      <c r="D18" t="s">
        <v>1950</v>
      </c>
      <c r="E18" t="s">
        <v>32</v>
      </c>
      <c r="F18" t="s">
        <v>2</v>
      </c>
      <c r="G18">
        <v>0.5</v>
      </c>
      <c r="H18" t="b">
        <v>1</v>
      </c>
      <c r="I18">
        <v>6.6760000000000002</v>
      </c>
      <c r="J18">
        <v>459.25171</v>
      </c>
      <c r="K18" t="s">
        <v>1951</v>
      </c>
      <c r="L18" t="s">
        <v>1875</v>
      </c>
      <c r="N18" t="s">
        <v>1952</v>
      </c>
      <c r="O18" t="s">
        <v>1965</v>
      </c>
      <c r="P18">
        <v>430</v>
      </c>
      <c r="Q18" t="b">
        <v>0</v>
      </c>
      <c r="R18" t="b">
        <v>1</v>
      </c>
      <c r="S18" t="b">
        <v>1</v>
      </c>
      <c r="T18" t="s">
        <v>7</v>
      </c>
      <c r="U18" t="b">
        <v>0</v>
      </c>
      <c r="V18" t="b">
        <v>0</v>
      </c>
      <c r="W18">
        <v>402</v>
      </c>
      <c r="X18">
        <v>0</v>
      </c>
      <c r="Y18">
        <v>0</v>
      </c>
      <c r="Z18">
        <v>1</v>
      </c>
      <c r="AA18">
        <v>0.55200000000000005</v>
      </c>
      <c r="AB18">
        <v>0.55300000000000005</v>
      </c>
      <c r="AC18">
        <v>0.60699999999999998</v>
      </c>
      <c r="AD18">
        <v>2</v>
      </c>
      <c r="AE18">
        <v>2</v>
      </c>
      <c r="AF18">
        <v>2.2829999999999999</v>
      </c>
      <c r="AG18">
        <v>204.72</v>
      </c>
      <c r="AH18" t="s">
        <v>1877</v>
      </c>
      <c r="AI18" t="s">
        <v>1954</v>
      </c>
      <c r="AJ18" t="s">
        <v>1955</v>
      </c>
      <c r="AK18">
        <v>0</v>
      </c>
      <c r="AL18">
        <v>2646</v>
      </c>
      <c r="AM18">
        <v>0</v>
      </c>
      <c r="AN18">
        <v>127952</v>
      </c>
      <c r="AO18">
        <v>154955</v>
      </c>
      <c r="AP18">
        <v>77251</v>
      </c>
      <c r="AQ18">
        <v>32012</v>
      </c>
      <c r="AR18">
        <v>91056</v>
      </c>
      <c r="AS18">
        <v>0</v>
      </c>
      <c r="AT18">
        <v>2645.8125</v>
      </c>
      <c r="AU18">
        <v>0</v>
      </c>
      <c r="AV18">
        <v>127951.6875</v>
      </c>
      <c r="AW18">
        <v>154955</v>
      </c>
      <c r="AX18">
        <v>77251.4375</v>
      </c>
      <c r="AY18">
        <v>32011.875</v>
      </c>
      <c r="AZ18">
        <v>91055.6875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</row>
    <row r="19" spans="1:60" x14ac:dyDescent="0.55000000000000004">
      <c r="A19">
        <v>411</v>
      </c>
      <c r="B19">
        <v>3.681</v>
      </c>
      <c r="C19">
        <v>462.29977000000002</v>
      </c>
      <c r="D19" t="s">
        <v>1956</v>
      </c>
      <c r="E19" t="s">
        <v>32</v>
      </c>
      <c r="F19" t="s">
        <v>2</v>
      </c>
      <c r="G19">
        <v>0.5</v>
      </c>
      <c r="H19" t="b">
        <v>1</v>
      </c>
      <c r="I19">
        <v>6.4</v>
      </c>
      <c r="J19">
        <v>462.29901000000001</v>
      </c>
      <c r="K19" t="s">
        <v>1957</v>
      </c>
      <c r="L19" t="s">
        <v>1906</v>
      </c>
      <c r="M19" t="s">
        <v>1932</v>
      </c>
      <c r="N19" t="s">
        <v>1958</v>
      </c>
      <c r="O19" t="s">
        <v>1971</v>
      </c>
      <c r="P19">
        <v>410</v>
      </c>
      <c r="Q19" t="b">
        <v>0</v>
      </c>
      <c r="R19" t="b">
        <v>1</v>
      </c>
      <c r="S19" t="b">
        <v>1</v>
      </c>
      <c r="T19" t="s">
        <v>7</v>
      </c>
      <c r="U19" t="b">
        <v>0</v>
      </c>
      <c r="V19" t="b">
        <v>0</v>
      </c>
      <c r="W19">
        <v>411</v>
      </c>
      <c r="X19">
        <v>0</v>
      </c>
      <c r="Y19">
        <v>0</v>
      </c>
      <c r="Z19">
        <v>0.99</v>
      </c>
      <c r="AA19">
        <v>0.72799999999999998</v>
      </c>
      <c r="AB19">
        <v>0.76900000000000002</v>
      </c>
      <c r="AC19">
        <v>0.96</v>
      </c>
      <c r="AD19">
        <v>5</v>
      </c>
      <c r="AE19">
        <v>2</v>
      </c>
      <c r="AF19">
        <v>2.5150000000000001</v>
      </c>
      <c r="AG19">
        <v>461.76</v>
      </c>
      <c r="AH19" t="s">
        <v>1877</v>
      </c>
      <c r="AI19" t="s">
        <v>1960</v>
      </c>
      <c r="AJ19" t="s">
        <v>1961</v>
      </c>
      <c r="AK19">
        <v>0</v>
      </c>
      <c r="AL19">
        <v>12973</v>
      </c>
      <c r="AM19">
        <v>0</v>
      </c>
      <c r="AN19">
        <v>275366</v>
      </c>
      <c r="AO19">
        <v>300322</v>
      </c>
      <c r="AP19">
        <v>149050</v>
      </c>
      <c r="AQ19">
        <v>79437</v>
      </c>
      <c r="AR19">
        <v>175706</v>
      </c>
      <c r="AS19">
        <v>0</v>
      </c>
      <c r="AT19">
        <v>12973.25</v>
      </c>
      <c r="AU19">
        <v>0</v>
      </c>
      <c r="AV19">
        <v>275366.1875</v>
      </c>
      <c r="AW19">
        <v>300321.5625</v>
      </c>
      <c r="AX19">
        <v>149049.9375</v>
      </c>
      <c r="AY19">
        <v>79437.1875</v>
      </c>
      <c r="AZ19">
        <v>175705.875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</row>
    <row r="20" spans="1:60" x14ac:dyDescent="0.55000000000000004">
      <c r="A20">
        <v>423</v>
      </c>
      <c r="B20">
        <v>1.2110000000000001</v>
      </c>
      <c r="C20">
        <v>464.30255</v>
      </c>
      <c r="D20" t="s">
        <v>1962</v>
      </c>
      <c r="E20" t="s">
        <v>32</v>
      </c>
      <c r="F20" t="s">
        <v>2</v>
      </c>
      <c r="G20">
        <v>0.75</v>
      </c>
      <c r="H20" t="b">
        <v>1</v>
      </c>
      <c r="I20">
        <v>2.738</v>
      </c>
      <c r="J20">
        <v>464.30176</v>
      </c>
      <c r="K20" t="s">
        <v>1963</v>
      </c>
      <c r="L20" t="s">
        <v>1925</v>
      </c>
      <c r="M20" t="s">
        <v>2304</v>
      </c>
      <c r="N20" t="s">
        <v>1964</v>
      </c>
      <c r="O20" t="s">
        <v>1978</v>
      </c>
      <c r="P20">
        <v>410</v>
      </c>
      <c r="Q20" t="b">
        <v>0</v>
      </c>
      <c r="R20" t="b">
        <v>1</v>
      </c>
      <c r="S20" t="b">
        <v>1</v>
      </c>
      <c r="T20" t="s">
        <v>7</v>
      </c>
      <c r="U20" t="b">
        <v>0</v>
      </c>
      <c r="V20" t="b">
        <v>0</v>
      </c>
      <c r="W20">
        <v>423</v>
      </c>
      <c r="X20">
        <v>0</v>
      </c>
      <c r="Y20">
        <v>0</v>
      </c>
      <c r="Z20">
        <v>0.98</v>
      </c>
      <c r="AA20">
        <v>0.86</v>
      </c>
      <c r="AB20">
        <v>0.92800000000000005</v>
      </c>
      <c r="AC20">
        <v>0.94599999999999995</v>
      </c>
      <c r="AD20">
        <v>5</v>
      </c>
      <c r="AE20">
        <v>0.71</v>
      </c>
      <c r="AF20">
        <v>1.74</v>
      </c>
      <c r="AG20">
        <v>522.54999999999995</v>
      </c>
      <c r="AH20" t="s">
        <v>1877</v>
      </c>
      <c r="AI20" t="s">
        <v>1966</v>
      </c>
      <c r="AJ20" t="s">
        <v>1967</v>
      </c>
      <c r="AK20">
        <v>0</v>
      </c>
      <c r="AL20">
        <v>65118</v>
      </c>
      <c r="AM20">
        <v>0</v>
      </c>
      <c r="AN20">
        <v>377554</v>
      </c>
      <c r="AO20">
        <v>394008</v>
      </c>
      <c r="AP20">
        <v>190251</v>
      </c>
      <c r="AQ20">
        <v>228972</v>
      </c>
      <c r="AR20">
        <v>211172</v>
      </c>
      <c r="AS20">
        <v>0</v>
      </c>
      <c r="AT20">
        <v>65118.25</v>
      </c>
      <c r="AU20">
        <v>0</v>
      </c>
      <c r="AV20">
        <v>377554.0625</v>
      </c>
      <c r="AW20">
        <v>394007.6875</v>
      </c>
      <c r="AX20">
        <v>190251.125</v>
      </c>
      <c r="AY20">
        <v>228971.875</v>
      </c>
      <c r="AZ20">
        <v>211172.1875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</row>
    <row r="21" spans="1:60" x14ac:dyDescent="0.55000000000000004">
      <c r="A21">
        <v>428</v>
      </c>
      <c r="B21">
        <v>5.1829999999999998</v>
      </c>
      <c r="C21">
        <v>464.31502999999998</v>
      </c>
      <c r="D21" t="s">
        <v>1968</v>
      </c>
      <c r="E21" t="s">
        <v>32</v>
      </c>
      <c r="F21" t="s">
        <v>2</v>
      </c>
      <c r="G21">
        <v>0.5</v>
      </c>
      <c r="H21" t="b">
        <v>1</v>
      </c>
      <c r="I21">
        <v>6.7089999999999996</v>
      </c>
      <c r="J21">
        <v>464.31461000000002</v>
      </c>
      <c r="K21" t="s">
        <v>1969</v>
      </c>
      <c r="L21" t="s">
        <v>1906</v>
      </c>
      <c r="M21" t="s">
        <v>1932</v>
      </c>
      <c r="N21" t="s">
        <v>1970</v>
      </c>
      <c r="O21" t="s">
        <v>1978</v>
      </c>
      <c r="P21">
        <v>410</v>
      </c>
      <c r="Q21" t="b">
        <v>0</v>
      </c>
      <c r="R21" t="b">
        <v>1</v>
      </c>
      <c r="S21" t="b">
        <v>1</v>
      </c>
      <c r="T21" t="s">
        <v>7</v>
      </c>
      <c r="U21" t="b">
        <v>0</v>
      </c>
      <c r="V21" t="b">
        <v>0</v>
      </c>
      <c r="W21">
        <v>428</v>
      </c>
      <c r="X21">
        <v>0</v>
      </c>
      <c r="Y21">
        <v>0</v>
      </c>
      <c r="Z21">
        <v>0.99</v>
      </c>
      <c r="AA21">
        <v>0.82099999999999995</v>
      </c>
      <c r="AB21">
        <v>0.84299999999999997</v>
      </c>
      <c r="AC21">
        <v>0.97899999999999998</v>
      </c>
      <c r="AD21">
        <v>5</v>
      </c>
      <c r="AE21">
        <v>2</v>
      </c>
      <c r="AF21">
        <v>2.5569999999999999</v>
      </c>
      <c r="AG21">
        <v>813.49</v>
      </c>
      <c r="AH21" t="s">
        <v>1877</v>
      </c>
      <c r="AI21" t="s">
        <v>1972</v>
      </c>
      <c r="AJ21" t="s">
        <v>1973</v>
      </c>
      <c r="AK21">
        <v>0</v>
      </c>
      <c r="AL21">
        <v>27537</v>
      </c>
      <c r="AM21">
        <v>0</v>
      </c>
      <c r="AN21">
        <v>653103</v>
      </c>
      <c r="AO21">
        <v>732321</v>
      </c>
      <c r="AP21">
        <v>346270</v>
      </c>
      <c r="AQ21">
        <v>159430</v>
      </c>
      <c r="AR21">
        <v>400528</v>
      </c>
      <c r="AS21">
        <v>0</v>
      </c>
      <c r="AT21">
        <v>27536.75</v>
      </c>
      <c r="AU21">
        <v>0</v>
      </c>
      <c r="AV21">
        <v>653103.3125</v>
      </c>
      <c r="AW21">
        <v>732320.75</v>
      </c>
      <c r="AX21">
        <v>346269.6875</v>
      </c>
      <c r="AY21">
        <v>159430.1875</v>
      </c>
      <c r="AZ21">
        <v>400527.75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</row>
    <row r="22" spans="1:60" x14ac:dyDescent="0.55000000000000004">
      <c r="A22">
        <v>435</v>
      </c>
      <c r="B22">
        <v>5.9820000000000002</v>
      </c>
      <c r="C22">
        <v>465.30459999999999</v>
      </c>
      <c r="D22" t="s">
        <v>1974</v>
      </c>
      <c r="E22" t="s">
        <v>32</v>
      </c>
      <c r="F22" t="s">
        <v>2</v>
      </c>
      <c r="G22">
        <v>0.38</v>
      </c>
      <c r="H22" t="b">
        <v>1</v>
      </c>
      <c r="I22">
        <v>6.9580000000000002</v>
      </c>
      <c r="J22">
        <v>465.30441000000002</v>
      </c>
      <c r="K22" t="s">
        <v>1975</v>
      </c>
      <c r="L22" t="s">
        <v>1976</v>
      </c>
      <c r="M22" t="s">
        <v>2304</v>
      </c>
      <c r="N22" t="s">
        <v>1977</v>
      </c>
      <c r="O22" t="s">
        <v>1987</v>
      </c>
      <c r="P22">
        <v>410</v>
      </c>
      <c r="Q22" t="b">
        <v>0</v>
      </c>
      <c r="R22" t="b">
        <v>1</v>
      </c>
      <c r="S22" t="b">
        <v>1</v>
      </c>
      <c r="T22" t="s">
        <v>7</v>
      </c>
      <c r="U22" t="b">
        <v>0</v>
      </c>
      <c r="V22" t="b">
        <v>0</v>
      </c>
      <c r="W22">
        <v>435</v>
      </c>
      <c r="X22">
        <v>0</v>
      </c>
      <c r="Y22">
        <v>0</v>
      </c>
      <c r="Z22">
        <v>1</v>
      </c>
      <c r="AA22">
        <v>0.79100000000000004</v>
      </c>
      <c r="AB22">
        <v>0.85699999999999998</v>
      </c>
      <c r="AC22">
        <v>0.88600000000000001</v>
      </c>
      <c r="AD22">
        <v>2</v>
      </c>
      <c r="AE22">
        <v>2</v>
      </c>
      <c r="AF22">
        <v>2.5190000000000001</v>
      </c>
      <c r="AG22">
        <v>3528.35</v>
      </c>
      <c r="AH22" t="s">
        <v>1877</v>
      </c>
      <c r="AI22" t="s">
        <v>1979</v>
      </c>
      <c r="AJ22" t="s">
        <v>1980</v>
      </c>
      <c r="AK22">
        <v>0</v>
      </c>
      <c r="AL22">
        <v>88986</v>
      </c>
      <c r="AM22">
        <v>0</v>
      </c>
      <c r="AN22">
        <v>1957018</v>
      </c>
      <c r="AO22">
        <v>2087521</v>
      </c>
      <c r="AP22">
        <v>955572</v>
      </c>
      <c r="AQ22">
        <v>547001</v>
      </c>
      <c r="AR22">
        <v>1165278</v>
      </c>
      <c r="AS22">
        <v>0</v>
      </c>
      <c r="AT22">
        <v>88985.6875</v>
      </c>
      <c r="AU22">
        <v>0</v>
      </c>
      <c r="AV22">
        <v>1957018.3125</v>
      </c>
      <c r="AW22">
        <v>2087520.75</v>
      </c>
      <c r="AX22">
        <v>955572.5</v>
      </c>
      <c r="AY22">
        <v>547001.0625</v>
      </c>
      <c r="AZ22">
        <v>1165277.875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</row>
    <row r="23" spans="1:60" x14ac:dyDescent="0.55000000000000004">
      <c r="A23">
        <v>436</v>
      </c>
      <c r="B23">
        <v>6.1189999999999998</v>
      </c>
      <c r="C23">
        <v>465.30462999999997</v>
      </c>
      <c r="D23" t="s">
        <v>1974</v>
      </c>
      <c r="E23" t="s">
        <v>32</v>
      </c>
      <c r="F23" t="s">
        <v>2</v>
      </c>
      <c r="G23">
        <v>0.38</v>
      </c>
      <c r="H23" t="b">
        <v>1</v>
      </c>
      <c r="I23">
        <v>6.9580000000000002</v>
      </c>
      <c r="J23">
        <v>465.30441000000002</v>
      </c>
      <c r="K23" t="s">
        <v>1975</v>
      </c>
      <c r="L23" t="s">
        <v>1976</v>
      </c>
      <c r="M23" t="s">
        <v>2304</v>
      </c>
      <c r="N23" t="s">
        <v>1977</v>
      </c>
      <c r="O23" t="s">
        <v>1993</v>
      </c>
      <c r="P23">
        <v>410</v>
      </c>
      <c r="Q23" t="b">
        <v>0</v>
      </c>
      <c r="R23" t="b">
        <v>1</v>
      </c>
      <c r="S23" t="b">
        <v>1</v>
      </c>
      <c r="T23" t="s">
        <v>7</v>
      </c>
      <c r="U23" t="b">
        <v>0</v>
      </c>
      <c r="V23" t="b">
        <v>0</v>
      </c>
      <c r="W23">
        <v>436</v>
      </c>
      <c r="X23">
        <v>0</v>
      </c>
      <c r="Y23">
        <v>0</v>
      </c>
      <c r="Z23">
        <v>0.99</v>
      </c>
      <c r="AA23">
        <v>0.67500000000000004</v>
      </c>
      <c r="AB23">
        <v>0.74399999999999999</v>
      </c>
      <c r="AC23">
        <v>0.88400000000000001</v>
      </c>
      <c r="AD23">
        <v>2</v>
      </c>
      <c r="AE23">
        <v>2</v>
      </c>
      <c r="AF23">
        <v>2.464</v>
      </c>
      <c r="AG23">
        <v>2077.15</v>
      </c>
      <c r="AH23" t="s">
        <v>1981</v>
      </c>
      <c r="AI23" t="s">
        <v>1982</v>
      </c>
      <c r="AJ23" t="s">
        <v>1983</v>
      </c>
      <c r="AK23">
        <v>0</v>
      </c>
      <c r="AL23">
        <v>197365</v>
      </c>
      <c r="AM23">
        <v>0</v>
      </c>
      <c r="AN23">
        <v>80790</v>
      </c>
      <c r="AO23">
        <v>302796</v>
      </c>
      <c r="AP23">
        <v>168616</v>
      </c>
      <c r="AQ23">
        <v>1068016</v>
      </c>
      <c r="AR23">
        <v>1165278</v>
      </c>
      <c r="AS23">
        <v>0</v>
      </c>
      <c r="AT23">
        <v>197365.4375</v>
      </c>
      <c r="AU23">
        <v>0</v>
      </c>
      <c r="AV23">
        <v>80789.875</v>
      </c>
      <c r="AW23">
        <v>302796.1875</v>
      </c>
      <c r="AX23">
        <v>168615.5</v>
      </c>
      <c r="AY23">
        <v>1068016.5</v>
      </c>
      <c r="AZ23">
        <v>1165277.875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</row>
    <row r="24" spans="1:60" x14ac:dyDescent="0.55000000000000004">
      <c r="A24">
        <v>444</v>
      </c>
      <c r="B24">
        <v>3.718</v>
      </c>
      <c r="C24">
        <v>466.29462000000001</v>
      </c>
      <c r="D24" t="s">
        <v>1984</v>
      </c>
      <c r="E24" t="s">
        <v>32</v>
      </c>
      <c r="F24" t="s">
        <v>2</v>
      </c>
      <c r="G24">
        <v>0.38</v>
      </c>
      <c r="H24" t="b">
        <v>1</v>
      </c>
      <c r="I24">
        <v>6.59</v>
      </c>
      <c r="J24">
        <v>466.29390999999998</v>
      </c>
      <c r="K24" t="s">
        <v>1985</v>
      </c>
      <c r="L24" t="s">
        <v>1932</v>
      </c>
      <c r="M24" t="s">
        <v>1932</v>
      </c>
      <c r="N24" t="s">
        <v>1986</v>
      </c>
      <c r="O24" t="s">
        <v>1999</v>
      </c>
      <c r="P24">
        <v>410</v>
      </c>
      <c r="Q24" t="b">
        <v>0</v>
      </c>
      <c r="R24" t="b">
        <v>1</v>
      </c>
      <c r="S24" t="b">
        <v>1</v>
      </c>
      <c r="T24" t="s">
        <v>7</v>
      </c>
      <c r="U24" t="b">
        <v>0</v>
      </c>
      <c r="V24" t="b">
        <v>0</v>
      </c>
      <c r="W24">
        <v>444</v>
      </c>
      <c r="X24">
        <v>0</v>
      </c>
      <c r="Y24">
        <v>0</v>
      </c>
      <c r="Z24">
        <v>1</v>
      </c>
      <c r="AA24">
        <v>0.47799999999999998</v>
      </c>
      <c r="AB24">
        <v>0.56999999999999995</v>
      </c>
      <c r="AC24">
        <v>0.83399999999999996</v>
      </c>
      <c r="AD24">
        <v>3</v>
      </c>
      <c r="AE24">
        <v>2</v>
      </c>
      <c r="AF24">
        <v>2.3660000000000001</v>
      </c>
      <c r="AG24">
        <v>288.16000000000003</v>
      </c>
      <c r="AH24" t="s">
        <v>1941</v>
      </c>
      <c r="AI24" t="s">
        <v>1988</v>
      </c>
      <c r="AJ24" t="s">
        <v>1989</v>
      </c>
      <c r="AK24">
        <v>0</v>
      </c>
      <c r="AL24">
        <v>2946</v>
      </c>
      <c r="AM24">
        <v>0</v>
      </c>
      <c r="AN24">
        <v>47922</v>
      </c>
      <c r="AO24">
        <v>51246</v>
      </c>
      <c r="AP24">
        <v>26373</v>
      </c>
      <c r="AQ24">
        <v>17719</v>
      </c>
      <c r="AR24">
        <v>29762</v>
      </c>
      <c r="AS24">
        <v>0</v>
      </c>
      <c r="AT24">
        <v>2946.1875</v>
      </c>
      <c r="AU24">
        <v>0</v>
      </c>
      <c r="AV24">
        <v>47922.375</v>
      </c>
      <c r="AW24">
        <v>51246.5</v>
      </c>
      <c r="AX24">
        <v>26372.8125</v>
      </c>
      <c r="AY24">
        <v>17719.4375</v>
      </c>
      <c r="AZ24">
        <v>29761.625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</row>
    <row r="25" spans="1:60" x14ac:dyDescent="0.55000000000000004">
      <c r="A25">
        <v>504</v>
      </c>
      <c r="B25">
        <v>1.931</v>
      </c>
      <c r="C25">
        <v>474.26265999999998</v>
      </c>
      <c r="D25" t="s">
        <v>1990</v>
      </c>
      <c r="E25" t="s">
        <v>32</v>
      </c>
      <c r="F25" t="s">
        <v>2</v>
      </c>
      <c r="G25">
        <v>0.5</v>
      </c>
      <c r="H25" t="b">
        <v>1</v>
      </c>
      <c r="I25">
        <v>6.1040000000000001</v>
      </c>
      <c r="J25">
        <v>474.26260000000002</v>
      </c>
      <c r="K25" t="s">
        <v>1991</v>
      </c>
      <c r="L25" t="s">
        <v>1932</v>
      </c>
      <c r="M25" t="s">
        <v>1932</v>
      </c>
      <c r="N25" t="s">
        <v>1992</v>
      </c>
      <c r="O25" t="s">
        <v>1999</v>
      </c>
      <c r="P25">
        <v>410</v>
      </c>
      <c r="Q25" t="b">
        <v>0</v>
      </c>
      <c r="R25" t="b">
        <v>1</v>
      </c>
      <c r="S25" t="b">
        <v>1</v>
      </c>
      <c r="T25" t="s">
        <v>7</v>
      </c>
      <c r="U25" t="b">
        <v>0</v>
      </c>
      <c r="V25" t="b">
        <v>0</v>
      </c>
      <c r="W25">
        <v>504</v>
      </c>
      <c r="X25">
        <v>0</v>
      </c>
      <c r="Y25">
        <v>0</v>
      </c>
      <c r="Z25">
        <v>1</v>
      </c>
      <c r="AA25">
        <v>0.34</v>
      </c>
      <c r="AB25">
        <v>0.42799999999999999</v>
      </c>
      <c r="AC25">
        <v>0.83799999999999997</v>
      </c>
      <c r="AD25">
        <v>2</v>
      </c>
      <c r="AE25">
        <v>2</v>
      </c>
      <c r="AF25">
        <v>2.3079999999999998</v>
      </c>
      <c r="AG25">
        <v>22.02</v>
      </c>
      <c r="AH25" t="s">
        <v>1941</v>
      </c>
      <c r="AI25" t="s">
        <v>1994</v>
      </c>
      <c r="AJ25" t="s">
        <v>1995</v>
      </c>
      <c r="AK25">
        <v>0</v>
      </c>
      <c r="AL25">
        <v>4294</v>
      </c>
      <c r="AM25">
        <v>0</v>
      </c>
      <c r="AN25">
        <v>52116</v>
      </c>
      <c r="AO25">
        <v>51857</v>
      </c>
      <c r="AP25">
        <v>20624</v>
      </c>
      <c r="AQ25">
        <v>22159</v>
      </c>
      <c r="AR25">
        <v>24592</v>
      </c>
      <c r="AS25">
        <v>0</v>
      </c>
      <c r="AT25">
        <v>4294</v>
      </c>
      <c r="AU25">
        <v>0</v>
      </c>
      <c r="AV25">
        <v>52116.3125</v>
      </c>
      <c r="AW25">
        <v>51857.0625</v>
      </c>
      <c r="AX25">
        <v>20624.1875</v>
      </c>
      <c r="AY25">
        <v>22159.375</v>
      </c>
      <c r="AZ25">
        <v>24591.6875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</row>
    <row r="26" spans="1:60" x14ac:dyDescent="0.55000000000000004">
      <c r="A26">
        <v>512</v>
      </c>
      <c r="B26">
        <v>2.2909999999999999</v>
      </c>
      <c r="C26">
        <v>476.27829000000003</v>
      </c>
      <c r="D26" t="s">
        <v>1996</v>
      </c>
      <c r="E26" t="s">
        <v>32</v>
      </c>
      <c r="F26" t="s">
        <v>2</v>
      </c>
      <c r="G26">
        <v>0.13</v>
      </c>
      <c r="H26" t="b">
        <v>1</v>
      </c>
      <c r="I26">
        <v>5.89</v>
      </c>
      <c r="J26">
        <v>476.27829000000003</v>
      </c>
      <c r="K26" t="s">
        <v>1997</v>
      </c>
      <c r="L26" t="s">
        <v>1932</v>
      </c>
      <c r="M26" t="s">
        <v>1932</v>
      </c>
      <c r="N26" t="s">
        <v>1998</v>
      </c>
      <c r="O26" t="s">
        <v>2007</v>
      </c>
      <c r="P26">
        <v>410</v>
      </c>
      <c r="Q26" t="b">
        <v>0</v>
      </c>
      <c r="R26" t="b">
        <v>1</v>
      </c>
      <c r="S26" t="b">
        <v>1</v>
      </c>
      <c r="T26" t="s">
        <v>7</v>
      </c>
      <c r="U26" t="b">
        <v>0</v>
      </c>
      <c r="V26" t="b">
        <v>0</v>
      </c>
      <c r="W26">
        <v>512</v>
      </c>
      <c r="X26">
        <v>0</v>
      </c>
      <c r="Y26">
        <v>0</v>
      </c>
      <c r="Z26">
        <v>1</v>
      </c>
      <c r="AA26">
        <v>0.60899999999999999</v>
      </c>
      <c r="AB26">
        <v>0.68400000000000005</v>
      </c>
      <c r="AC26">
        <v>0.88300000000000001</v>
      </c>
      <c r="AD26">
        <v>4</v>
      </c>
      <c r="AE26">
        <v>2</v>
      </c>
      <c r="AF26">
        <v>2.4409999999999998</v>
      </c>
      <c r="AG26">
        <v>875.69</v>
      </c>
      <c r="AH26" t="s">
        <v>1877</v>
      </c>
      <c r="AI26" t="s">
        <v>2000</v>
      </c>
      <c r="AJ26" t="s">
        <v>2001</v>
      </c>
      <c r="AK26">
        <v>0</v>
      </c>
      <c r="AL26">
        <v>11017</v>
      </c>
      <c r="AM26">
        <v>0</v>
      </c>
      <c r="AN26">
        <v>1547948</v>
      </c>
      <c r="AO26">
        <v>953756</v>
      </c>
      <c r="AP26">
        <v>540894</v>
      </c>
      <c r="AQ26">
        <v>82336</v>
      </c>
      <c r="AR26">
        <v>386879</v>
      </c>
      <c r="AS26">
        <v>0</v>
      </c>
      <c r="AT26">
        <v>11017.125</v>
      </c>
      <c r="AU26">
        <v>0</v>
      </c>
      <c r="AV26">
        <v>1547947.625</v>
      </c>
      <c r="AW26">
        <v>953756</v>
      </c>
      <c r="AX26">
        <v>540894.0625</v>
      </c>
      <c r="AY26">
        <v>82336.5</v>
      </c>
      <c r="AZ26">
        <v>386878.5625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</row>
    <row r="27" spans="1:60" x14ac:dyDescent="0.55000000000000004">
      <c r="A27">
        <v>514</v>
      </c>
      <c r="B27">
        <v>2.5350000000000001</v>
      </c>
      <c r="C27">
        <v>476.27847000000003</v>
      </c>
      <c r="D27" t="s">
        <v>1996</v>
      </c>
      <c r="E27" t="s">
        <v>32</v>
      </c>
      <c r="F27" t="s">
        <v>2</v>
      </c>
      <c r="G27">
        <v>0.25</v>
      </c>
      <c r="H27" t="b">
        <v>1</v>
      </c>
      <c r="I27">
        <v>5.89</v>
      </c>
      <c r="J27">
        <v>476.27829000000003</v>
      </c>
      <c r="K27" t="s">
        <v>1997</v>
      </c>
      <c r="L27" t="s">
        <v>1932</v>
      </c>
      <c r="M27" t="s">
        <v>1932</v>
      </c>
      <c r="N27" t="s">
        <v>1998</v>
      </c>
      <c r="O27" t="s">
        <v>2007</v>
      </c>
      <c r="P27">
        <v>410</v>
      </c>
      <c r="Q27" t="b">
        <v>0</v>
      </c>
      <c r="R27" t="b">
        <v>1</v>
      </c>
      <c r="S27" t="b">
        <v>1</v>
      </c>
      <c r="T27" t="s">
        <v>7</v>
      </c>
      <c r="U27" t="b">
        <v>0</v>
      </c>
      <c r="V27" t="b">
        <v>0</v>
      </c>
      <c r="W27">
        <v>514</v>
      </c>
      <c r="X27">
        <v>0</v>
      </c>
      <c r="Y27">
        <v>0</v>
      </c>
      <c r="Z27">
        <v>0.99</v>
      </c>
      <c r="AA27">
        <v>0.68500000000000005</v>
      </c>
      <c r="AB27">
        <v>0.73799999999999999</v>
      </c>
      <c r="AC27">
        <v>0.96399999999999997</v>
      </c>
      <c r="AD27">
        <v>5</v>
      </c>
      <c r="AE27">
        <v>2</v>
      </c>
      <c r="AF27">
        <v>2.5009999999999999</v>
      </c>
      <c r="AG27">
        <v>1112.08</v>
      </c>
      <c r="AH27" t="s">
        <v>1981</v>
      </c>
      <c r="AI27" t="s">
        <v>2002</v>
      </c>
      <c r="AJ27" t="s">
        <v>2003</v>
      </c>
      <c r="AK27">
        <v>0</v>
      </c>
      <c r="AL27">
        <v>167138</v>
      </c>
      <c r="AM27">
        <v>0</v>
      </c>
      <c r="AN27">
        <v>65449</v>
      </c>
      <c r="AO27">
        <v>153592</v>
      </c>
      <c r="AP27">
        <v>87045</v>
      </c>
      <c r="AQ27">
        <v>826851</v>
      </c>
      <c r="AR27">
        <v>961857</v>
      </c>
      <c r="AS27">
        <v>0</v>
      </c>
      <c r="AT27">
        <v>167138.1875</v>
      </c>
      <c r="AU27">
        <v>0</v>
      </c>
      <c r="AV27">
        <v>65448.5625</v>
      </c>
      <c r="AW27">
        <v>153592.125</v>
      </c>
      <c r="AX27">
        <v>87045.1875</v>
      </c>
      <c r="AY27">
        <v>826850.875</v>
      </c>
      <c r="AZ27">
        <v>961856.625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</row>
    <row r="28" spans="1:60" x14ac:dyDescent="0.55000000000000004">
      <c r="A28">
        <v>521</v>
      </c>
      <c r="B28">
        <v>3.2160000000000002</v>
      </c>
      <c r="C28">
        <v>478.29401000000001</v>
      </c>
      <c r="D28" t="s">
        <v>2004</v>
      </c>
      <c r="E28" t="s">
        <v>32</v>
      </c>
      <c r="F28" t="s">
        <v>2</v>
      </c>
      <c r="G28">
        <v>0.5</v>
      </c>
      <c r="H28" t="b">
        <v>1</v>
      </c>
      <c r="I28">
        <v>6.3659999999999997</v>
      </c>
      <c r="J28">
        <v>478.29390999999998</v>
      </c>
      <c r="K28" t="s">
        <v>2005</v>
      </c>
      <c r="L28" t="s">
        <v>1932</v>
      </c>
      <c r="M28" t="s">
        <v>1932</v>
      </c>
      <c r="N28" t="s">
        <v>2006</v>
      </c>
      <c r="O28" t="s">
        <v>2016</v>
      </c>
      <c r="P28">
        <v>410</v>
      </c>
      <c r="Q28" t="b">
        <v>0</v>
      </c>
      <c r="R28" t="b">
        <v>1</v>
      </c>
      <c r="S28" t="b">
        <v>1</v>
      </c>
      <c r="T28" t="s">
        <v>7</v>
      </c>
      <c r="U28" t="b">
        <v>0</v>
      </c>
      <c r="V28" t="b">
        <v>0</v>
      </c>
      <c r="W28">
        <v>521</v>
      </c>
      <c r="X28">
        <v>0</v>
      </c>
      <c r="Y28">
        <v>0</v>
      </c>
      <c r="Z28">
        <v>1</v>
      </c>
      <c r="AA28">
        <v>0.73099999999999998</v>
      </c>
      <c r="AB28">
        <v>0.8</v>
      </c>
      <c r="AC28">
        <v>0.90400000000000003</v>
      </c>
      <c r="AD28">
        <v>5</v>
      </c>
      <c r="AE28">
        <v>2</v>
      </c>
      <c r="AF28">
        <v>2.5009999999999999</v>
      </c>
      <c r="AG28">
        <v>3403.04</v>
      </c>
      <c r="AH28" t="s">
        <v>2008</v>
      </c>
      <c r="AI28" t="s">
        <v>2009</v>
      </c>
      <c r="AJ28" t="s">
        <v>2010</v>
      </c>
      <c r="AK28">
        <v>0</v>
      </c>
      <c r="AL28">
        <v>61398</v>
      </c>
      <c r="AM28">
        <v>0</v>
      </c>
      <c r="AN28">
        <v>1370291</v>
      </c>
      <c r="AO28">
        <v>1486573</v>
      </c>
      <c r="AP28">
        <v>696716</v>
      </c>
      <c r="AQ28">
        <v>427340</v>
      </c>
      <c r="AR28">
        <v>775046</v>
      </c>
      <c r="AS28">
        <v>0</v>
      </c>
      <c r="AT28">
        <v>61398.0625</v>
      </c>
      <c r="AU28">
        <v>0</v>
      </c>
      <c r="AV28">
        <v>1370291.25</v>
      </c>
      <c r="AW28">
        <v>1486572.6875</v>
      </c>
      <c r="AX28">
        <v>696715.625</v>
      </c>
      <c r="AY28">
        <v>427339.6875</v>
      </c>
      <c r="AZ28">
        <v>775045.6875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</row>
    <row r="29" spans="1:60" x14ac:dyDescent="0.55000000000000004">
      <c r="A29">
        <v>522</v>
      </c>
      <c r="B29">
        <v>3.371</v>
      </c>
      <c r="C29">
        <v>478.29419000000001</v>
      </c>
      <c r="D29" t="s">
        <v>2004</v>
      </c>
      <c r="E29" t="s">
        <v>32</v>
      </c>
      <c r="F29" t="s">
        <v>2</v>
      </c>
      <c r="G29">
        <v>0.25</v>
      </c>
      <c r="H29" t="b">
        <v>1</v>
      </c>
      <c r="I29">
        <v>6.3659999999999997</v>
      </c>
      <c r="J29">
        <v>478.29390999999998</v>
      </c>
      <c r="K29" t="s">
        <v>2005</v>
      </c>
      <c r="L29" t="s">
        <v>1932</v>
      </c>
      <c r="M29" t="s">
        <v>1932</v>
      </c>
      <c r="N29" t="s">
        <v>2006</v>
      </c>
      <c r="O29" t="s">
        <v>2022</v>
      </c>
      <c r="P29">
        <v>410</v>
      </c>
      <c r="Q29" t="b">
        <v>0</v>
      </c>
      <c r="R29" t="b">
        <v>1</v>
      </c>
      <c r="S29" t="b">
        <v>1</v>
      </c>
      <c r="T29" t="s">
        <v>7</v>
      </c>
      <c r="U29" t="b">
        <v>0</v>
      </c>
      <c r="V29" t="b">
        <v>0</v>
      </c>
      <c r="W29">
        <v>522</v>
      </c>
      <c r="X29">
        <v>0</v>
      </c>
      <c r="Y29">
        <v>0</v>
      </c>
      <c r="Z29">
        <v>0.99</v>
      </c>
      <c r="AA29">
        <v>0.745</v>
      </c>
      <c r="AB29">
        <v>0.83199999999999996</v>
      </c>
      <c r="AC29">
        <v>0.95199999999999996</v>
      </c>
      <c r="AD29">
        <v>5</v>
      </c>
      <c r="AE29">
        <v>2</v>
      </c>
      <c r="AF29">
        <v>2.528</v>
      </c>
      <c r="AG29">
        <v>1769.51</v>
      </c>
      <c r="AH29" t="s">
        <v>1981</v>
      </c>
      <c r="AI29" t="s">
        <v>2011</v>
      </c>
      <c r="AJ29" t="s">
        <v>2012</v>
      </c>
      <c r="AK29">
        <v>0</v>
      </c>
      <c r="AL29">
        <v>135826</v>
      </c>
      <c r="AM29">
        <v>0</v>
      </c>
      <c r="AN29">
        <v>88875</v>
      </c>
      <c r="AO29">
        <v>154051</v>
      </c>
      <c r="AP29">
        <v>74107</v>
      </c>
      <c r="AQ29">
        <v>861198</v>
      </c>
      <c r="AR29">
        <v>126872</v>
      </c>
      <c r="AS29">
        <v>0</v>
      </c>
      <c r="AT29">
        <v>135825.8125</v>
      </c>
      <c r="AU29">
        <v>0</v>
      </c>
      <c r="AV29">
        <v>88874.625</v>
      </c>
      <c r="AW29">
        <v>154051.0625</v>
      </c>
      <c r="AX29">
        <v>74107.375</v>
      </c>
      <c r="AY29">
        <v>861198.4375</v>
      </c>
      <c r="AZ29">
        <v>126872.0625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</row>
    <row r="30" spans="1:60" x14ac:dyDescent="0.55000000000000004">
      <c r="A30">
        <v>527</v>
      </c>
      <c r="B30">
        <v>6.5970000000000004</v>
      </c>
      <c r="C30">
        <v>479.32083</v>
      </c>
      <c r="D30" t="s">
        <v>2013</v>
      </c>
      <c r="E30" t="s">
        <v>32</v>
      </c>
      <c r="F30" t="s">
        <v>2</v>
      </c>
      <c r="G30">
        <v>0.38</v>
      </c>
      <c r="H30" t="b">
        <v>1</v>
      </c>
      <c r="I30">
        <v>7.5090000000000003</v>
      </c>
      <c r="J30">
        <v>479.32010000000002</v>
      </c>
      <c r="K30" t="s">
        <v>2014</v>
      </c>
      <c r="L30" t="s">
        <v>1976</v>
      </c>
      <c r="M30" t="s">
        <v>2304</v>
      </c>
      <c r="N30" t="s">
        <v>2015</v>
      </c>
      <c r="O30" t="s">
        <v>2022</v>
      </c>
      <c r="P30">
        <v>410</v>
      </c>
      <c r="Q30" t="b">
        <v>0</v>
      </c>
      <c r="R30" t="b">
        <v>1</v>
      </c>
      <c r="S30" t="b">
        <v>1</v>
      </c>
      <c r="T30" t="s">
        <v>7</v>
      </c>
      <c r="U30" t="b">
        <v>0</v>
      </c>
      <c r="V30" t="b">
        <v>0</v>
      </c>
      <c r="W30">
        <v>527</v>
      </c>
      <c r="X30">
        <v>0</v>
      </c>
      <c r="Y30">
        <v>0</v>
      </c>
      <c r="Z30">
        <v>1</v>
      </c>
      <c r="AA30">
        <v>0.58399999999999996</v>
      </c>
      <c r="AB30">
        <v>0.67400000000000004</v>
      </c>
      <c r="AC30">
        <v>0.91900000000000004</v>
      </c>
      <c r="AD30">
        <v>2</v>
      </c>
      <c r="AE30">
        <v>2</v>
      </c>
      <c r="AF30">
        <v>2.4470000000000001</v>
      </c>
      <c r="AG30">
        <v>45.81</v>
      </c>
      <c r="AH30" t="s">
        <v>1941</v>
      </c>
      <c r="AI30" t="s">
        <v>2017</v>
      </c>
      <c r="AJ30" t="s">
        <v>2018</v>
      </c>
      <c r="AK30">
        <v>0</v>
      </c>
      <c r="AL30">
        <v>5310</v>
      </c>
      <c r="AM30">
        <v>0</v>
      </c>
      <c r="AN30">
        <v>78497</v>
      </c>
      <c r="AO30">
        <v>81894</v>
      </c>
      <c r="AP30">
        <v>41495</v>
      </c>
      <c r="AQ30">
        <v>30243</v>
      </c>
      <c r="AR30">
        <v>53119</v>
      </c>
      <c r="AS30">
        <v>0</v>
      </c>
      <c r="AT30">
        <v>5310.3125</v>
      </c>
      <c r="AU30">
        <v>0</v>
      </c>
      <c r="AV30">
        <v>78496.6875</v>
      </c>
      <c r="AW30">
        <v>81893.875</v>
      </c>
      <c r="AX30">
        <v>41495.3125</v>
      </c>
      <c r="AY30">
        <v>30243.4375</v>
      </c>
      <c r="AZ30">
        <v>53118.875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</row>
    <row r="31" spans="1:60" x14ac:dyDescent="0.55000000000000004">
      <c r="A31">
        <v>532</v>
      </c>
      <c r="B31">
        <v>4.34</v>
      </c>
      <c r="C31">
        <v>480.30945000000003</v>
      </c>
      <c r="D31" t="s">
        <v>2019</v>
      </c>
      <c r="E31" t="s">
        <v>32</v>
      </c>
      <c r="F31" t="s">
        <v>2</v>
      </c>
      <c r="G31">
        <v>0.25</v>
      </c>
      <c r="H31" t="b">
        <v>1</v>
      </c>
      <c r="I31">
        <v>6.8280000000000003</v>
      </c>
      <c r="J31">
        <v>480.30959999999999</v>
      </c>
      <c r="K31" t="s">
        <v>2020</v>
      </c>
      <c r="L31" t="s">
        <v>1932</v>
      </c>
      <c r="M31" t="s">
        <v>1932</v>
      </c>
      <c r="N31" t="s">
        <v>2021</v>
      </c>
      <c r="O31" t="s">
        <v>2030</v>
      </c>
      <c r="P31">
        <v>410</v>
      </c>
      <c r="Q31" t="b">
        <v>0</v>
      </c>
      <c r="R31" t="b">
        <v>1</v>
      </c>
      <c r="S31" t="b">
        <v>1</v>
      </c>
      <c r="T31" t="s">
        <v>7</v>
      </c>
      <c r="U31" t="b">
        <v>0</v>
      </c>
      <c r="V31" t="b">
        <v>0</v>
      </c>
      <c r="W31">
        <v>532</v>
      </c>
      <c r="X31">
        <v>0</v>
      </c>
      <c r="Y31">
        <v>0</v>
      </c>
      <c r="Z31">
        <v>1</v>
      </c>
      <c r="AA31">
        <v>0.71399999999999997</v>
      </c>
      <c r="AB31">
        <v>0.81899999999999995</v>
      </c>
      <c r="AC31">
        <v>0.89800000000000002</v>
      </c>
      <c r="AD31">
        <v>5</v>
      </c>
      <c r="AE31">
        <v>2</v>
      </c>
      <c r="AF31">
        <v>2.4990000000000001</v>
      </c>
      <c r="AG31">
        <v>550.70000000000005</v>
      </c>
      <c r="AH31" t="s">
        <v>1889</v>
      </c>
      <c r="AI31" t="s">
        <v>2023</v>
      </c>
      <c r="AJ31" t="s">
        <v>2024</v>
      </c>
      <c r="AK31">
        <v>0</v>
      </c>
      <c r="AL31">
        <v>40827</v>
      </c>
      <c r="AM31">
        <v>0</v>
      </c>
      <c r="AN31">
        <v>1446481</v>
      </c>
      <c r="AO31">
        <v>1041705</v>
      </c>
      <c r="AP31">
        <v>657666</v>
      </c>
      <c r="AQ31">
        <v>269555</v>
      </c>
      <c r="AR31">
        <v>259971</v>
      </c>
      <c r="AS31">
        <v>0</v>
      </c>
      <c r="AT31">
        <v>40826.625</v>
      </c>
      <c r="AU31">
        <v>0</v>
      </c>
      <c r="AV31">
        <v>1446481</v>
      </c>
      <c r="AW31">
        <v>1041704.8125</v>
      </c>
      <c r="AX31">
        <v>657665.5625</v>
      </c>
      <c r="AY31">
        <v>269554.875</v>
      </c>
      <c r="AZ31">
        <v>259971.1875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</row>
    <row r="32" spans="1:60" x14ac:dyDescent="0.55000000000000004">
      <c r="A32">
        <v>535</v>
      </c>
      <c r="B32">
        <v>4.6779999999999999</v>
      </c>
      <c r="C32">
        <v>480.30993999999998</v>
      </c>
      <c r="D32" t="s">
        <v>2019</v>
      </c>
      <c r="E32" t="s">
        <v>32</v>
      </c>
      <c r="F32" t="s">
        <v>2</v>
      </c>
      <c r="G32">
        <v>0.25</v>
      </c>
      <c r="H32" t="b">
        <v>1</v>
      </c>
      <c r="I32">
        <v>6.8280000000000003</v>
      </c>
      <c r="J32">
        <v>480.30959999999999</v>
      </c>
      <c r="K32" t="s">
        <v>2020</v>
      </c>
      <c r="L32" t="s">
        <v>1932</v>
      </c>
      <c r="M32" t="s">
        <v>1932</v>
      </c>
      <c r="N32" t="s">
        <v>2021</v>
      </c>
      <c r="O32" t="s">
        <v>2036</v>
      </c>
      <c r="P32">
        <v>410</v>
      </c>
      <c r="Q32" t="b">
        <v>0</v>
      </c>
      <c r="R32" t="b">
        <v>1</v>
      </c>
      <c r="S32" t="b">
        <v>1</v>
      </c>
      <c r="T32" t="s">
        <v>7</v>
      </c>
      <c r="U32" t="b">
        <v>0</v>
      </c>
      <c r="V32" t="b">
        <v>0</v>
      </c>
      <c r="W32">
        <v>535</v>
      </c>
      <c r="X32">
        <v>0</v>
      </c>
      <c r="Y32">
        <v>0</v>
      </c>
      <c r="Z32">
        <v>1</v>
      </c>
      <c r="AA32">
        <v>0.80400000000000005</v>
      </c>
      <c r="AB32">
        <v>0.873</v>
      </c>
      <c r="AC32">
        <v>0.95699999999999996</v>
      </c>
      <c r="AD32">
        <v>5</v>
      </c>
      <c r="AE32">
        <v>2</v>
      </c>
      <c r="AF32">
        <v>2.5529999999999999</v>
      </c>
      <c r="AG32">
        <v>3770.69</v>
      </c>
      <c r="AH32" t="s">
        <v>1981</v>
      </c>
      <c r="AI32" t="s">
        <v>2025</v>
      </c>
      <c r="AJ32" t="s">
        <v>2026</v>
      </c>
      <c r="AK32">
        <v>0</v>
      </c>
      <c r="AL32">
        <v>300806</v>
      </c>
      <c r="AM32">
        <v>0</v>
      </c>
      <c r="AN32">
        <v>54277</v>
      </c>
      <c r="AO32">
        <v>129908</v>
      </c>
      <c r="AP32">
        <v>96830</v>
      </c>
      <c r="AQ32">
        <v>1577567</v>
      </c>
      <c r="AR32">
        <v>386038</v>
      </c>
      <c r="AS32">
        <v>0</v>
      </c>
      <c r="AT32">
        <v>300806.0625</v>
      </c>
      <c r="AU32">
        <v>0</v>
      </c>
      <c r="AV32">
        <v>54277</v>
      </c>
      <c r="AW32">
        <v>129908.1875</v>
      </c>
      <c r="AX32">
        <v>96830.375</v>
      </c>
      <c r="AY32">
        <v>1577567.125</v>
      </c>
      <c r="AZ32">
        <v>386038.4375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</v>
      </c>
    </row>
    <row r="33" spans="1:60" x14ac:dyDescent="0.55000000000000004">
      <c r="A33">
        <v>537</v>
      </c>
      <c r="B33">
        <v>1.8480000000000001</v>
      </c>
      <c r="C33">
        <v>481.23671999999999</v>
      </c>
      <c r="D33" t="s">
        <v>2027</v>
      </c>
      <c r="E33" t="s">
        <v>32</v>
      </c>
      <c r="F33" t="s">
        <v>2</v>
      </c>
      <c r="G33">
        <v>0.63</v>
      </c>
      <c r="H33" t="b">
        <v>1</v>
      </c>
      <c r="I33">
        <v>6.0510000000000002</v>
      </c>
      <c r="J33">
        <v>481.23611</v>
      </c>
      <c r="K33" t="s">
        <v>2028</v>
      </c>
      <c r="L33" t="s">
        <v>1875</v>
      </c>
      <c r="N33" t="s">
        <v>2029</v>
      </c>
      <c r="O33" t="s">
        <v>2042</v>
      </c>
      <c r="P33">
        <v>410</v>
      </c>
      <c r="Q33" t="b">
        <v>0</v>
      </c>
      <c r="R33" t="b">
        <v>1</v>
      </c>
      <c r="S33" t="b">
        <v>1</v>
      </c>
      <c r="T33" t="s">
        <v>7</v>
      </c>
      <c r="U33" t="b">
        <v>0</v>
      </c>
      <c r="V33" t="b">
        <v>0</v>
      </c>
      <c r="W33">
        <v>537</v>
      </c>
      <c r="X33">
        <v>0</v>
      </c>
      <c r="Y33">
        <v>0</v>
      </c>
      <c r="Z33">
        <v>0.99</v>
      </c>
      <c r="AA33">
        <v>0.625</v>
      </c>
      <c r="AB33">
        <v>0.64700000000000002</v>
      </c>
      <c r="AC33">
        <v>0.60299999999999998</v>
      </c>
      <c r="AD33">
        <v>2</v>
      </c>
      <c r="AE33">
        <v>2</v>
      </c>
      <c r="AF33">
        <v>2.3119999999999998</v>
      </c>
      <c r="AG33">
        <v>254.34</v>
      </c>
      <c r="AH33" t="s">
        <v>1877</v>
      </c>
      <c r="AI33" t="s">
        <v>2031</v>
      </c>
      <c r="AJ33" t="s">
        <v>2032</v>
      </c>
      <c r="AK33">
        <v>0</v>
      </c>
      <c r="AL33">
        <v>14154</v>
      </c>
      <c r="AM33">
        <v>0</v>
      </c>
      <c r="AN33">
        <v>139626</v>
      </c>
      <c r="AO33">
        <v>154869</v>
      </c>
      <c r="AP33">
        <v>70710</v>
      </c>
      <c r="AQ33">
        <v>93147</v>
      </c>
      <c r="AR33">
        <v>81882</v>
      </c>
      <c r="AS33">
        <v>0</v>
      </c>
      <c r="AT33">
        <v>14154.125</v>
      </c>
      <c r="AU33">
        <v>0</v>
      </c>
      <c r="AV33">
        <v>139626.375</v>
      </c>
      <c r="AW33">
        <v>154869.125</v>
      </c>
      <c r="AX33">
        <v>70709.875</v>
      </c>
      <c r="AY33">
        <v>93146.8125</v>
      </c>
      <c r="AZ33">
        <v>81881.5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0</v>
      </c>
      <c r="BH33">
        <v>0</v>
      </c>
    </row>
    <row r="34" spans="1:60" x14ac:dyDescent="0.55000000000000004">
      <c r="A34">
        <v>592</v>
      </c>
      <c r="B34">
        <v>7.2850000000000001</v>
      </c>
      <c r="C34">
        <v>492.34670999999997</v>
      </c>
      <c r="D34" t="s">
        <v>2033</v>
      </c>
      <c r="E34" t="s">
        <v>32</v>
      </c>
      <c r="F34" t="s">
        <v>2</v>
      </c>
      <c r="G34">
        <v>0.38</v>
      </c>
      <c r="H34" t="b">
        <v>1</v>
      </c>
      <c r="I34">
        <v>7.4420000000000002</v>
      </c>
      <c r="J34">
        <v>492.34589</v>
      </c>
      <c r="K34" t="s">
        <v>2034</v>
      </c>
      <c r="L34" t="s">
        <v>1906</v>
      </c>
      <c r="M34" t="s">
        <v>1932</v>
      </c>
      <c r="N34" t="s">
        <v>2035</v>
      </c>
      <c r="O34" t="s">
        <v>2048</v>
      </c>
      <c r="P34">
        <v>410</v>
      </c>
      <c r="Q34" t="b">
        <v>0</v>
      </c>
      <c r="R34" t="b">
        <v>1</v>
      </c>
      <c r="S34" t="b">
        <v>1</v>
      </c>
      <c r="T34" t="s">
        <v>7</v>
      </c>
      <c r="U34" t="b">
        <v>0</v>
      </c>
      <c r="V34" t="b">
        <v>0</v>
      </c>
      <c r="W34">
        <v>592</v>
      </c>
      <c r="X34">
        <v>0</v>
      </c>
      <c r="Y34">
        <v>0</v>
      </c>
      <c r="Z34">
        <v>0.99</v>
      </c>
      <c r="AA34">
        <v>0.60199999999999998</v>
      </c>
      <c r="AB34">
        <v>0.61099999999999999</v>
      </c>
      <c r="AC34">
        <v>0.97</v>
      </c>
      <c r="AD34">
        <v>5</v>
      </c>
      <c r="AE34">
        <v>2</v>
      </c>
      <c r="AF34">
        <v>2.4569999999999999</v>
      </c>
      <c r="AG34">
        <v>13.54</v>
      </c>
      <c r="AH34" t="s">
        <v>1941</v>
      </c>
      <c r="AI34" t="s">
        <v>2037</v>
      </c>
      <c r="AJ34" t="s">
        <v>2038</v>
      </c>
      <c r="AK34">
        <v>0</v>
      </c>
      <c r="AL34">
        <v>1854</v>
      </c>
      <c r="AM34">
        <v>0</v>
      </c>
      <c r="AN34">
        <v>45306</v>
      </c>
      <c r="AO34">
        <v>48682</v>
      </c>
      <c r="AP34">
        <v>21186</v>
      </c>
      <c r="AQ34">
        <v>11737</v>
      </c>
      <c r="AR34">
        <v>23942</v>
      </c>
      <c r="AS34">
        <v>0</v>
      </c>
      <c r="AT34">
        <v>1854.1875</v>
      </c>
      <c r="AU34">
        <v>0</v>
      </c>
      <c r="AV34">
        <v>45306.25</v>
      </c>
      <c r="AW34">
        <v>48681.75</v>
      </c>
      <c r="AX34">
        <v>21185.9375</v>
      </c>
      <c r="AY34">
        <v>11737.25</v>
      </c>
      <c r="AZ34">
        <v>23942.125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0</v>
      </c>
    </row>
    <row r="35" spans="1:60" x14ac:dyDescent="0.55000000000000004">
      <c r="A35">
        <v>600</v>
      </c>
      <c r="B35">
        <v>7.3070000000000004</v>
      </c>
      <c r="C35">
        <v>493.33632999999998</v>
      </c>
      <c r="D35" t="s">
        <v>2039</v>
      </c>
      <c r="E35" t="s">
        <v>32</v>
      </c>
      <c r="F35" t="s">
        <v>2</v>
      </c>
      <c r="G35">
        <v>0.5</v>
      </c>
      <c r="H35" t="b">
        <v>1</v>
      </c>
      <c r="I35">
        <v>7.7140000000000004</v>
      </c>
      <c r="J35">
        <v>493.33569</v>
      </c>
      <c r="K35" t="s">
        <v>2040</v>
      </c>
      <c r="L35" t="s">
        <v>1976</v>
      </c>
      <c r="M35" t="s">
        <v>2304</v>
      </c>
      <c r="N35" t="s">
        <v>2041</v>
      </c>
      <c r="O35" t="s">
        <v>2054</v>
      </c>
      <c r="P35">
        <v>410</v>
      </c>
      <c r="Q35" t="b">
        <v>0</v>
      </c>
      <c r="R35" t="b">
        <v>1</v>
      </c>
      <c r="S35" t="b">
        <v>1</v>
      </c>
      <c r="T35" t="s">
        <v>7</v>
      </c>
      <c r="U35" t="b">
        <v>0</v>
      </c>
      <c r="V35" t="b">
        <v>0</v>
      </c>
      <c r="W35">
        <v>600</v>
      </c>
      <c r="X35">
        <v>0</v>
      </c>
      <c r="Y35">
        <v>0</v>
      </c>
      <c r="Z35">
        <v>0.99</v>
      </c>
      <c r="AA35">
        <v>0.752</v>
      </c>
      <c r="AB35">
        <v>0.80100000000000005</v>
      </c>
      <c r="AC35">
        <v>0.93799999999999994</v>
      </c>
      <c r="AD35">
        <v>2</v>
      </c>
      <c r="AE35">
        <v>2</v>
      </c>
      <c r="AF35">
        <v>2.5169999999999999</v>
      </c>
      <c r="AG35">
        <v>41.92</v>
      </c>
      <c r="AH35" t="s">
        <v>1877</v>
      </c>
      <c r="AI35" t="s">
        <v>2043</v>
      </c>
      <c r="AJ35" t="s">
        <v>2044</v>
      </c>
      <c r="AK35">
        <v>0</v>
      </c>
      <c r="AL35">
        <v>6474</v>
      </c>
      <c r="AM35">
        <v>0</v>
      </c>
      <c r="AN35">
        <v>134021</v>
      </c>
      <c r="AO35">
        <v>134569</v>
      </c>
      <c r="AP35">
        <v>66431</v>
      </c>
      <c r="AQ35">
        <v>38549</v>
      </c>
      <c r="AR35">
        <v>78447</v>
      </c>
      <c r="AS35">
        <v>0</v>
      </c>
      <c r="AT35">
        <v>6473.9375</v>
      </c>
      <c r="AU35">
        <v>0</v>
      </c>
      <c r="AV35">
        <v>134021.25</v>
      </c>
      <c r="AW35">
        <v>134569</v>
      </c>
      <c r="AX35">
        <v>66431.0625</v>
      </c>
      <c r="AY35">
        <v>38548.9375</v>
      </c>
      <c r="AZ35">
        <v>78447.375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0</v>
      </c>
    </row>
    <row r="36" spans="1:60" x14ac:dyDescent="0.55000000000000004">
      <c r="A36">
        <v>655</v>
      </c>
      <c r="B36">
        <v>1.843</v>
      </c>
      <c r="C36">
        <v>498.26317999999998</v>
      </c>
      <c r="D36" t="s">
        <v>2045</v>
      </c>
      <c r="E36" t="s">
        <v>32</v>
      </c>
      <c r="F36" t="s">
        <v>2</v>
      </c>
      <c r="G36">
        <v>0.5</v>
      </c>
      <c r="H36" t="b">
        <v>1</v>
      </c>
      <c r="I36">
        <v>5.4089999999999998</v>
      </c>
      <c r="J36">
        <v>498.26260000000002</v>
      </c>
      <c r="K36" t="s">
        <v>2046</v>
      </c>
      <c r="L36" t="s">
        <v>1932</v>
      </c>
      <c r="M36" t="s">
        <v>1932</v>
      </c>
      <c r="N36" t="s">
        <v>2047</v>
      </c>
      <c r="O36" t="s">
        <v>2054</v>
      </c>
      <c r="P36">
        <v>410</v>
      </c>
      <c r="Q36" t="b">
        <v>0</v>
      </c>
      <c r="R36" t="b">
        <v>1</v>
      </c>
      <c r="S36" t="b">
        <v>1</v>
      </c>
      <c r="T36" t="s">
        <v>7</v>
      </c>
      <c r="U36" t="b">
        <v>0</v>
      </c>
      <c r="V36" t="b">
        <v>0</v>
      </c>
      <c r="W36">
        <v>655</v>
      </c>
      <c r="X36">
        <v>0</v>
      </c>
      <c r="Y36">
        <v>0</v>
      </c>
      <c r="Z36">
        <v>0.99</v>
      </c>
      <c r="AA36">
        <v>0.255</v>
      </c>
      <c r="AB36">
        <v>0.28799999999999998</v>
      </c>
      <c r="AC36">
        <v>0.81100000000000005</v>
      </c>
      <c r="AD36">
        <v>3</v>
      </c>
      <c r="AE36">
        <v>2</v>
      </c>
      <c r="AF36">
        <v>2.2440000000000002</v>
      </c>
      <c r="AG36">
        <v>73.87</v>
      </c>
      <c r="AH36" t="s">
        <v>1941</v>
      </c>
      <c r="AI36" t="s">
        <v>2049</v>
      </c>
      <c r="AJ36" t="s">
        <v>2050</v>
      </c>
      <c r="AK36">
        <v>0</v>
      </c>
      <c r="AL36">
        <v>3169</v>
      </c>
      <c r="AM36">
        <v>0</v>
      </c>
      <c r="AN36">
        <v>45962</v>
      </c>
      <c r="AO36">
        <v>45553</v>
      </c>
      <c r="AP36">
        <v>18212</v>
      </c>
      <c r="AQ36">
        <v>22675</v>
      </c>
      <c r="AR36">
        <v>22129</v>
      </c>
      <c r="AS36">
        <v>0</v>
      </c>
      <c r="AT36">
        <v>3168.9375</v>
      </c>
      <c r="AU36">
        <v>0</v>
      </c>
      <c r="AV36">
        <v>45961.5</v>
      </c>
      <c r="AW36">
        <v>45553</v>
      </c>
      <c r="AX36">
        <v>18211.75</v>
      </c>
      <c r="AY36">
        <v>22675.3125</v>
      </c>
      <c r="AZ36">
        <v>22128.75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0</v>
      </c>
    </row>
    <row r="37" spans="1:60" x14ac:dyDescent="0.55000000000000004">
      <c r="A37">
        <v>671</v>
      </c>
      <c r="B37">
        <v>2.4009999999999998</v>
      </c>
      <c r="C37">
        <v>500.27805000000001</v>
      </c>
      <c r="D37" t="s">
        <v>2051</v>
      </c>
      <c r="E37" t="s">
        <v>32</v>
      </c>
      <c r="F37" t="s">
        <v>2</v>
      </c>
      <c r="G37">
        <v>0.25</v>
      </c>
      <c r="H37" t="b">
        <v>1</v>
      </c>
      <c r="I37">
        <v>5.8129999999999997</v>
      </c>
      <c r="J37">
        <v>500.27829000000003</v>
      </c>
      <c r="K37" t="s">
        <v>2052</v>
      </c>
      <c r="L37" t="s">
        <v>1932</v>
      </c>
      <c r="M37" t="s">
        <v>1932</v>
      </c>
      <c r="N37" t="s">
        <v>2053</v>
      </c>
      <c r="O37" t="s">
        <v>2062</v>
      </c>
      <c r="P37">
        <v>410</v>
      </c>
      <c r="Q37" t="b">
        <v>0</v>
      </c>
      <c r="R37" t="b">
        <v>1</v>
      </c>
      <c r="S37" t="b">
        <v>1</v>
      </c>
      <c r="T37" t="s">
        <v>7</v>
      </c>
      <c r="U37" t="b">
        <v>0</v>
      </c>
      <c r="V37" t="b">
        <v>0</v>
      </c>
      <c r="W37">
        <v>671</v>
      </c>
      <c r="X37">
        <v>0</v>
      </c>
      <c r="Y37">
        <v>0</v>
      </c>
      <c r="Z37">
        <v>1</v>
      </c>
      <c r="AA37">
        <v>0.65200000000000002</v>
      </c>
      <c r="AB37">
        <v>0.70499999999999996</v>
      </c>
      <c r="AC37">
        <v>0.97199999999999998</v>
      </c>
      <c r="AD37">
        <v>5</v>
      </c>
      <c r="AE37">
        <v>2</v>
      </c>
      <c r="AF37">
        <v>2.4910000000000001</v>
      </c>
      <c r="AG37">
        <v>1410.59</v>
      </c>
      <c r="AH37" t="s">
        <v>1981</v>
      </c>
      <c r="AI37" t="s">
        <v>2055</v>
      </c>
      <c r="AJ37" t="s">
        <v>2056</v>
      </c>
      <c r="AK37">
        <v>0</v>
      </c>
      <c r="AL37">
        <v>94101</v>
      </c>
      <c r="AM37">
        <v>0</v>
      </c>
      <c r="AN37">
        <v>25558</v>
      </c>
      <c r="AO37">
        <v>102308</v>
      </c>
      <c r="AP37">
        <v>539446</v>
      </c>
      <c r="AQ37">
        <v>644402</v>
      </c>
      <c r="AR37">
        <v>597569</v>
      </c>
      <c r="AS37">
        <v>0</v>
      </c>
      <c r="AT37">
        <v>94100.5625</v>
      </c>
      <c r="AU37">
        <v>0</v>
      </c>
      <c r="AV37">
        <v>25557.6875</v>
      </c>
      <c r="AW37">
        <v>102308</v>
      </c>
      <c r="AX37">
        <v>539445.75</v>
      </c>
      <c r="AY37">
        <v>644401.6875</v>
      </c>
      <c r="AZ37">
        <v>597568.625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0</v>
      </c>
      <c r="BH37">
        <v>0</v>
      </c>
    </row>
    <row r="38" spans="1:60" x14ac:dyDescent="0.55000000000000004">
      <c r="A38">
        <v>672</v>
      </c>
      <c r="B38">
        <v>2.157</v>
      </c>
      <c r="C38">
        <v>500.27823000000001</v>
      </c>
      <c r="D38" t="s">
        <v>2051</v>
      </c>
      <c r="E38" t="s">
        <v>32</v>
      </c>
      <c r="F38" t="s">
        <v>2</v>
      </c>
      <c r="G38">
        <v>0.13</v>
      </c>
      <c r="H38" t="b">
        <v>1</v>
      </c>
      <c r="I38">
        <v>5.8129999999999997</v>
      </c>
      <c r="J38">
        <v>500.27829000000003</v>
      </c>
      <c r="K38" t="s">
        <v>2052</v>
      </c>
      <c r="L38" t="s">
        <v>1932</v>
      </c>
      <c r="M38" t="s">
        <v>1932</v>
      </c>
      <c r="N38" t="s">
        <v>2053</v>
      </c>
      <c r="O38" t="s">
        <v>2069</v>
      </c>
      <c r="P38">
        <v>410</v>
      </c>
      <c r="Q38" t="b">
        <v>0</v>
      </c>
      <c r="R38" t="b">
        <v>1</v>
      </c>
      <c r="S38" t="b">
        <v>1</v>
      </c>
      <c r="T38" t="s">
        <v>7</v>
      </c>
      <c r="U38" t="b">
        <v>0</v>
      </c>
      <c r="V38" t="b">
        <v>0</v>
      </c>
      <c r="W38">
        <v>672</v>
      </c>
      <c r="X38">
        <v>0</v>
      </c>
      <c r="Y38">
        <v>0</v>
      </c>
      <c r="Z38">
        <v>1</v>
      </c>
      <c r="AA38">
        <v>0.627</v>
      </c>
      <c r="AB38">
        <v>0.67600000000000005</v>
      </c>
      <c r="AC38">
        <v>0.95699999999999996</v>
      </c>
      <c r="AD38">
        <v>5</v>
      </c>
      <c r="AE38">
        <v>2</v>
      </c>
      <c r="AF38">
        <v>2.4750000000000001</v>
      </c>
      <c r="AG38">
        <v>1372.27</v>
      </c>
      <c r="AH38" t="s">
        <v>1877</v>
      </c>
      <c r="AI38" t="s">
        <v>2057</v>
      </c>
      <c r="AJ38" t="s">
        <v>2058</v>
      </c>
      <c r="AK38">
        <v>0</v>
      </c>
      <c r="AL38">
        <v>8040</v>
      </c>
      <c r="AM38">
        <v>0</v>
      </c>
      <c r="AN38">
        <v>1027935</v>
      </c>
      <c r="AO38">
        <v>649674</v>
      </c>
      <c r="AP38">
        <v>370196</v>
      </c>
      <c r="AQ38">
        <v>52586</v>
      </c>
      <c r="AR38">
        <v>231198</v>
      </c>
      <c r="AS38">
        <v>0</v>
      </c>
      <c r="AT38">
        <v>8039.5</v>
      </c>
      <c r="AU38">
        <v>0</v>
      </c>
      <c r="AV38">
        <v>1027934.9375</v>
      </c>
      <c r="AW38">
        <v>649673.6875</v>
      </c>
      <c r="AX38">
        <v>370196.25</v>
      </c>
      <c r="AY38">
        <v>52585.6875</v>
      </c>
      <c r="AZ38">
        <v>231198.3125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0</v>
      </c>
      <c r="BH38">
        <v>0</v>
      </c>
    </row>
    <row r="39" spans="1:60" x14ac:dyDescent="0.55000000000000004">
      <c r="A39">
        <v>683</v>
      </c>
      <c r="B39">
        <v>2.7</v>
      </c>
      <c r="C39">
        <v>502.29401000000001</v>
      </c>
      <c r="D39" t="s">
        <v>2059</v>
      </c>
      <c r="E39" t="s">
        <v>32</v>
      </c>
      <c r="F39" t="s">
        <v>2</v>
      </c>
      <c r="G39">
        <v>0.5</v>
      </c>
      <c r="H39" t="b">
        <v>1</v>
      </c>
      <c r="I39">
        <v>6.3029999999999999</v>
      </c>
      <c r="J39">
        <v>502.29390999999998</v>
      </c>
      <c r="K39" t="s">
        <v>2060</v>
      </c>
      <c r="L39" t="s">
        <v>1932</v>
      </c>
      <c r="M39" t="s">
        <v>1932</v>
      </c>
      <c r="N39" t="s">
        <v>2061</v>
      </c>
      <c r="O39" t="s">
        <v>2074</v>
      </c>
      <c r="P39">
        <v>410</v>
      </c>
      <c r="Q39" t="b">
        <v>0</v>
      </c>
      <c r="R39" t="b">
        <v>1</v>
      </c>
      <c r="S39" t="b">
        <v>1</v>
      </c>
      <c r="T39" t="s">
        <v>7</v>
      </c>
      <c r="U39" t="b">
        <v>0</v>
      </c>
      <c r="V39" t="b">
        <v>0</v>
      </c>
      <c r="W39">
        <v>683</v>
      </c>
      <c r="X39">
        <v>0</v>
      </c>
      <c r="Y39">
        <v>0</v>
      </c>
      <c r="Z39">
        <v>1</v>
      </c>
      <c r="AA39">
        <v>0.58599999999999997</v>
      </c>
      <c r="AB39">
        <v>0.65300000000000002</v>
      </c>
      <c r="AC39">
        <v>0.95</v>
      </c>
      <c r="AD39">
        <v>4</v>
      </c>
      <c r="AE39">
        <v>2</v>
      </c>
      <c r="AF39">
        <v>2.4580000000000002</v>
      </c>
      <c r="AG39">
        <v>211.29</v>
      </c>
      <c r="AH39" t="s">
        <v>1877</v>
      </c>
      <c r="AI39" t="s">
        <v>2063</v>
      </c>
      <c r="AJ39" t="s">
        <v>2064</v>
      </c>
      <c r="AK39">
        <v>0</v>
      </c>
      <c r="AL39">
        <v>5014</v>
      </c>
      <c r="AM39">
        <v>0</v>
      </c>
      <c r="AN39">
        <v>111619</v>
      </c>
      <c r="AO39">
        <v>111854</v>
      </c>
      <c r="AP39">
        <v>52690</v>
      </c>
      <c r="AQ39">
        <v>33562</v>
      </c>
      <c r="AR39">
        <v>61456</v>
      </c>
      <c r="AS39">
        <v>0</v>
      </c>
      <c r="AT39">
        <v>5014</v>
      </c>
      <c r="AU39">
        <v>0</v>
      </c>
      <c r="AV39">
        <v>111618.75</v>
      </c>
      <c r="AW39">
        <v>111854.4375</v>
      </c>
      <c r="AX39">
        <v>52690.375</v>
      </c>
      <c r="AY39">
        <v>33562</v>
      </c>
      <c r="AZ39">
        <v>61456.1875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0</v>
      </c>
    </row>
    <row r="40" spans="1:60" x14ac:dyDescent="0.55000000000000004">
      <c r="A40">
        <v>717</v>
      </c>
      <c r="B40">
        <v>2.41</v>
      </c>
      <c r="C40">
        <v>509.28841999999997</v>
      </c>
      <c r="D40" t="s">
        <v>2065</v>
      </c>
      <c r="E40" t="s">
        <v>32</v>
      </c>
      <c r="F40" t="s">
        <v>2</v>
      </c>
      <c r="G40">
        <v>0.25</v>
      </c>
      <c r="H40" t="b">
        <v>1</v>
      </c>
      <c r="I40">
        <v>5.87</v>
      </c>
      <c r="J40">
        <v>509.28850999999997</v>
      </c>
      <c r="K40" t="s">
        <v>2066</v>
      </c>
      <c r="L40" t="s">
        <v>2067</v>
      </c>
      <c r="N40" t="s">
        <v>2068</v>
      </c>
      <c r="O40" t="s">
        <v>2080</v>
      </c>
      <c r="P40">
        <v>410</v>
      </c>
      <c r="Q40" t="b">
        <v>0</v>
      </c>
      <c r="R40" t="b">
        <v>1</v>
      </c>
      <c r="S40" t="b">
        <v>1</v>
      </c>
      <c r="T40" t="s">
        <v>7</v>
      </c>
      <c r="U40" t="b">
        <v>0</v>
      </c>
      <c r="V40" t="b">
        <v>0</v>
      </c>
      <c r="W40">
        <v>717</v>
      </c>
      <c r="X40">
        <v>0</v>
      </c>
      <c r="Y40">
        <v>0</v>
      </c>
      <c r="Z40">
        <v>1</v>
      </c>
      <c r="AA40">
        <v>0.433</v>
      </c>
      <c r="AB40">
        <v>0.52100000000000002</v>
      </c>
      <c r="AC40">
        <v>0.92100000000000004</v>
      </c>
      <c r="AD40">
        <v>3</v>
      </c>
      <c r="AE40">
        <v>2</v>
      </c>
      <c r="AF40">
        <v>2.3849999999999998</v>
      </c>
      <c r="AG40">
        <v>35.909999999999997</v>
      </c>
      <c r="AH40" t="s">
        <v>2008</v>
      </c>
      <c r="AI40" t="s">
        <v>2070</v>
      </c>
      <c r="AJ40" t="s">
        <v>2071</v>
      </c>
      <c r="AK40">
        <v>0</v>
      </c>
      <c r="AL40">
        <v>1847</v>
      </c>
      <c r="AM40">
        <v>0</v>
      </c>
      <c r="AN40">
        <v>21080</v>
      </c>
      <c r="AO40">
        <v>21942</v>
      </c>
      <c r="AP40">
        <v>10634</v>
      </c>
      <c r="AQ40">
        <v>12710</v>
      </c>
      <c r="AR40">
        <v>12798</v>
      </c>
      <c r="AS40">
        <v>0</v>
      </c>
      <c r="AT40">
        <v>1846.8125</v>
      </c>
      <c r="AU40">
        <v>0</v>
      </c>
      <c r="AV40">
        <v>21079.5625</v>
      </c>
      <c r="AW40">
        <v>21941.875</v>
      </c>
      <c r="AX40">
        <v>10633.75</v>
      </c>
      <c r="AY40">
        <v>12710.25</v>
      </c>
      <c r="AZ40">
        <v>12798.3125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0</v>
      </c>
      <c r="BH40">
        <v>0</v>
      </c>
    </row>
    <row r="41" spans="1:60" x14ac:dyDescent="0.55000000000000004">
      <c r="A41">
        <v>735</v>
      </c>
      <c r="B41">
        <v>1.9770000000000001</v>
      </c>
      <c r="C41">
        <v>512.29931999999997</v>
      </c>
      <c r="D41" t="s">
        <v>2072</v>
      </c>
      <c r="E41" t="s">
        <v>1</v>
      </c>
      <c r="F41" t="s">
        <v>2</v>
      </c>
      <c r="G41">
        <v>0.5</v>
      </c>
      <c r="H41" t="b">
        <v>1</v>
      </c>
      <c r="I41">
        <v>5.4470000000000001</v>
      </c>
      <c r="J41">
        <v>512.29938000000004</v>
      </c>
      <c r="K41" t="s">
        <v>1985</v>
      </c>
      <c r="L41" t="s">
        <v>13</v>
      </c>
      <c r="M41" t="s">
        <v>13</v>
      </c>
      <c r="N41" t="s">
        <v>2073</v>
      </c>
      <c r="O41" t="s">
        <v>2085</v>
      </c>
      <c r="P41">
        <v>410</v>
      </c>
      <c r="Q41" t="b">
        <v>0</v>
      </c>
      <c r="R41" t="b">
        <v>1</v>
      </c>
      <c r="S41" t="b">
        <v>1</v>
      </c>
      <c r="T41" t="s">
        <v>7</v>
      </c>
      <c r="U41" t="b">
        <v>0</v>
      </c>
      <c r="V41" t="b">
        <v>0</v>
      </c>
      <c r="W41">
        <v>735</v>
      </c>
      <c r="X41">
        <v>0</v>
      </c>
      <c r="Y41">
        <v>0</v>
      </c>
      <c r="Z41">
        <v>1</v>
      </c>
      <c r="AA41">
        <v>0.82399999999999995</v>
      </c>
      <c r="AB41">
        <v>0.879</v>
      </c>
      <c r="AC41">
        <v>0.94099999999999995</v>
      </c>
      <c r="AD41">
        <v>3</v>
      </c>
      <c r="AE41">
        <v>2</v>
      </c>
      <c r="AF41">
        <v>2.552</v>
      </c>
      <c r="AG41">
        <v>1720.52</v>
      </c>
      <c r="AH41" t="s">
        <v>1877</v>
      </c>
      <c r="AI41" t="s">
        <v>2075</v>
      </c>
      <c r="AJ41" t="s">
        <v>2076</v>
      </c>
      <c r="AK41">
        <v>0</v>
      </c>
      <c r="AL41">
        <v>107389</v>
      </c>
      <c r="AM41">
        <v>0</v>
      </c>
      <c r="AN41">
        <v>1921077</v>
      </c>
      <c r="AO41">
        <v>1885691</v>
      </c>
      <c r="AP41">
        <v>801200</v>
      </c>
      <c r="AQ41">
        <v>626256</v>
      </c>
      <c r="AR41">
        <v>955498</v>
      </c>
      <c r="AS41">
        <v>0</v>
      </c>
      <c r="AT41">
        <v>107389.3125</v>
      </c>
      <c r="AU41">
        <v>0</v>
      </c>
      <c r="AV41">
        <v>1921076.75</v>
      </c>
      <c r="AW41">
        <v>1885690.875</v>
      </c>
      <c r="AX41">
        <v>801199.8125</v>
      </c>
      <c r="AY41">
        <v>626255.75</v>
      </c>
      <c r="AZ41">
        <v>955498.0625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0</v>
      </c>
      <c r="BH41">
        <v>0</v>
      </c>
    </row>
    <row r="42" spans="1:60" x14ac:dyDescent="0.55000000000000004">
      <c r="A42">
        <v>801</v>
      </c>
      <c r="B42">
        <v>2.1070000000000002</v>
      </c>
      <c r="C42">
        <v>524.27837999999997</v>
      </c>
      <c r="D42" t="s">
        <v>2077</v>
      </c>
      <c r="E42" t="s">
        <v>32</v>
      </c>
      <c r="F42" t="s">
        <v>2</v>
      </c>
      <c r="G42">
        <v>0.5</v>
      </c>
      <c r="H42" t="b">
        <v>1</v>
      </c>
      <c r="I42">
        <v>5.657</v>
      </c>
      <c r="J42">
        <v>524.27832000000001</v>
      </c>
      <c r="K42" t="s">
        <v>2078</v>
      </c>
      <c r="L42" t="s">
        <v>1932</v>
      </c>
      <c r="M42" t="s">
        <v>1932</v>
      </c>
      <c r="N42" t="s">
        <v>2079</v>
      </c>
      <c r="O42" t="s">
        <v>2085</v>
      </c>
      <c r="P42">
        <v>410</v>
      </c>
      <c r="Q42" t="b">
        <v>0</v>
      </c>
      <c r="R42" t="b">
        <v>1</v>
      </c>
      <c r="S42" t="b">
        <v>1</v>
      </c>
      <c r="T42" t="s">
        <v>7</v>
      </c>
      <c r="U42" t="b">
        <v>0</v>
      </c>
      <c r="V42" t="b">
        <v>0</v>
      </c>
      <c r="W42">
        <v>801</v>
      </c>
      <c r="X42">
        <v>0</v>
      </c>
      <c r="Y42">
        <v>0</v>
      </c>
      <c r="Z42">
        <v>1</v>
      </c>
      <c r="AA42">
        <v>0.59599999999999997</v>
      </c>
      <c r="AB42">
        <v>0.65500000000000003</v>
      </c>
      <c r="AC42">
        <v>0.96399999999999997</v>
      </c>
      <c r="AD42">
        <v>5</v>
      </c>
      <c r="AE42">
        <v>2</v>
      </c>
      <c r="AF42">
        <v>2.4670000000000001</v>
      </c>
      <c r="AG42">
        <v>1260.07</v>
      </c>
      <c r="AH42" t="s">
        <v>1877</v>
      </c>
      <c r="AI42" t="s">
        <v>2081</v>
      </c>
      <c r="AJ42" t="s">
        <v>2082</v>
      </c>
      <c r="AK42">
        <v>0</v>
      </c>
      <c r="AL42">
        <v>32598</v>
      </c>
      <c r="AM42">
        <v>0</v>
      </c>
      <c r="AN42">
        <v>630058</v>
      </c>
      <c r="AO42">
        <v>645980</v>
      </c>
      <c r="AP42">
        <v>321119</v>
      </c>
      <c r="AQ42">
        <v>213581</v>
      </c>
      <c r="AR42">
        <v>337156</v>
      </c>
      <c r="AS42">
        <v>0</v>
      </c>
      <c r="AT42">
        <v>32597.875</v>
      </c>
      <c r="AU42">
        <v>0</v>
      </c>
      <c r="AV42">
        <v>630057.9375</v>
      </c>
      <c r="AW42">
        <v>645980.1875</v>
      </c>
      <c r="AX42">
        <v>321118.9375</v>
      </c>
      <c r="AY42">
        <v>213581.1875</v>
      </c>
      <c r="AZ42">
        <v>337155.9375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0</v>
      </c>
      <c r="BH42">
        <v>0</v>
      </c>
    </row>
    <row r="43" spans="1:60" x14ac:dyDescent="0.55000000000000004">
      <c r="A43">
        <v>811</v>
      </c>
      <c r="B43">
        <v>2.383</v>
      </c>
      <c r="C43">
        <v>526.31493999999998</v>
      </c>
      <c r="D43" t="s">
        <v>2083</v>
      </c>
      <c r="E43" t="s">
        <v>1</v>
      </c>
      <c r="F43" t="s">
        <v>2</v>
      </c>
      <c r="G43">
        <v>0.5</v>
      </c>
      <c r="H43" t="b">
        <v>1</v>
      </c>
      <c r="I43">
        <v>5.7779999999999996</v>
      </c>
      <c r="J43">
        <v>526.31500000000005</v>
      </c>
      <c r="K43" t="s">
        <v>2020</v>
      </c>
      <c r="L43" t="s">
        <v>13</v>
      </c>
      <c r="M43" t="s">
        <v>13</v>
      </c>
      <c r="N43" t="s">
        <v>2084</v>
      </c>
      <c r="O43" t="s">
        <v>2095</v>
      </c>
      <c r="P43">
        <v>410</v>
      </c>
      <c r="Q43" t="b">
        <v>0</v>
      </c>
      <c r="R43" t="b">
        <v>1</v>
      </c>
      <c r="S43" t="b">
        <v>1</v>
      </c>
      <c r="T43" t="s">
        <v>7</v>
      </c>
      <c r="U43" t="b">
        <v>0</v>
      </c>
      <c r="V43" t="b">
        <v>0</v>
      </c>
      <c r="W43">
        <v>811</v>
      </c>
      <c r="X43">
        <v>0</v>
      </c>
      <c r="Y43">
        <v>0</v>
      </c>
      <c r="Z43">
        <v>1</v>
      </c>
      <c r="AA43">
        <v>0.92400000000000004</v>
      </c>
      <c r="AB43">
        <v>0.93400000000000005</v>
      </c>
      <c r="AC43">
        <v>0.96199999999999997</v>
      </c>
      <c r="AD43">
        <v>3</v>
      </c>
      <c r="AE43">
        <v>2</v>
      </c>
      <c r="AF43">
        <v>2.5960000000000001</v>
      </c>
      <c r="AG43">
        <v>1330.5</v>
      </c>
      <c r="AH43" t="s">
        <v>2086</v>
      </c>
      <c r="AI43" t="s">
        <v>2087</v>
      </c>
      <c r="AJ43" t="s">
        <v>2088</v>
      </c>
      <c r="AK43">
        <v>0</v>
      </c>
      <c r="AL43">
        <v>67826</v>
      </c>
      <c r="AM43">
        <v>0</v>
      </c>
      <c r="AN43">
        <v>1252024</v>
      </c>
      <c r="AO43">
        <v>1351140</v>
      </c>
      <c r="AP43">
        <v>612055</v>
      </c>
      <c r="AQ43">
        <v>509486</v>
      </c>
      <c r="AR43">
        <v>743135</v>
      </c>
      <c r="AS43">
        <v>0</v>
      </c>
      <c r="AT43">
        <v>67826.3125</v>
      </c>
      <c r="AU43">
        <v>0</v>
      </c>
      <c r="AV43">
        <v>1252023.9375</v>
      </c>
      <c r="AW43">
        <v>1351139.8125</v>
      </c>
      <c r="AX43">
        <v>612055.0625</v>
      </c>
      <c r="AY43">
        <v>509486.3125</v>
      </c>
      <c r="AZ43">
        <v>743135.25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0</v>
      </c>
      <c r="BH43">
        <v>0</v>
      </c>
    </row>
    <row r="44" spans="1:60" x14ac:dyDescent="0.55000000000000004">
      <c r="A44">
        <v>812</v>
      </c>
      <c r="B44">
        <v>2.5099999999999998</v>
      </c>
      <c r="C44">
        <v>526.31511999999998</v>
      </c>
      <c r="D44" t="s">
        <v>2083</v>
      </c>
      <c r="E44" t="s">
        <v>1</v>
      </c>
      <c r="F44" t="s">
        <v>2</v>
      </c>
      <c r="G44">
        <v>0.25</v>
      </c>
      <c r="H44" t="b">
        <v>1</v>
      </c>
      <c r="I44">
        <v>5.7779999999999996</v>
      </c>
      <c r="J44">
        <v>526.31500000000005</v>
      </c>
      <c r="K44" t="s">
        <v>2020</v>
      </c>
      <c r="L44" t="s">
        <v>13</v>
      </c>
      <c r="M44" t="s">
        <v>13</v>
      </c>
      <c r="N44" t="s">
        <v>2084</v>
      </c>
      <c r="O44" t="s">
        <v>2095</v>
      </c>
      <c r="P44">
        <v>410</v>
      </c>
      <c r="Q44" t="b">
        <v>0</v>
      </c>
      <c r="R44" t="b">
        <v>1</v>
      </c>
      <c r="S44" t="b">
        <v>1</v>
      </c>
      <c r="T44" t="s">
        <v>7</v>
      </c>
      <c r="U44" t="b">
        <v>0</v>
      </c>
      <c r="V44" t="b">
        <v>0</v>
      </c>
      <c r="W44">
        <v>812</v>
      </c>
      <c r="X44">
        <v>0</v>
      </c>
      <c r="Y44">
        <v>0</v>
      </c>
      <c r="Z44">
        <v>1</v>
      </c>
      <c r="AA44">
        <v>0.90800000000000003</v>
      </c>
      <c r="AB44">
        <v>0.92300000000000004</v>
      </c>
      <c r="AC44">
        <v>0.96199999999999997</v>
      </c>
      <c r="AD44">
        <v>3</v>
      </c>
      <c r="AE44">
        <v>2</v>
      </c>
      <c r="AF44">
        <v>2.59</v>
      </c>
      <c r="AG44">
        <v>920.89</v>
      </c>
      <c r="AH44" t="s">
        <v>1889</v>
      </c>
      <c r="AI44" t="s">
        <v>2089</v>
      </c>
      <c r="AJ44" t="s">
        <v>2090</v>
      </c>
      <c r="AK44">
        <v>0</v>
      </c>
      <c r="AL44">
        <v>113473</v>
      </c>
      <c r="AM44">
        <v>0</v>
      </c>
      <c r="AN44">
        <v>43708</v>
      </c>
      <c r="AO44">
        <v>112368</v>
      </c>
      <c r="AP44">
        <v>62050</v>
      </c>
      <c r="AQ44">
        <v>692435</v>
      </c>
      <c r="AR44">
        <v>743135</v>
      </c>
      <c r="AS44">
        <v>0</v>
      </c>
      <c r="AT44">
        <v>113473.125</v>
      </c>
      <c r="AU44">
        <v>0</v>
      </c>
      <c r="AV44">
        <v>43707.9375</v>
      </c>
      <c r="AW44">
        <v>112367.5625</v>
      </c>
      <c r="AX44">
        <v>62050.3125</v>
      </c>
      <c r="AY44">
        <v>692434.9375</v>
      </c>
      <c r="AZ44">
        <v>743135.25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0</v>
      </c>
      <c r="BH44">
        <v>0</v>
      </c>
    </row>
    <row r="45" spans="1:60" x14ac:dyDescent="0.55000000000000004">
      <c r="A45">
        <v>813</v>
      </c>
      <c r="B45">
        <v>3.617</v>
      </c>
      <c r="C45">
        <v>526.35167999999999</v>
      </c>
      <c r="D45" t="s">
        <v>2091</v>
      </c>
      <c r="E45" t="s">
        <v>1</v>
      </c>
      <c r="F45" t="s">
        <v>2</v>
      </c>
      <c r="G45">
        <v>0.25</v>
      </c>
      <c r="H45" t="b">
        <v>1</v>
      </c>
      <c r="I45">
        <v>6.617</v>
      </c>
      <c r="J45">
        <v>526.35137999999995</v>
      </c>
      <c r="K45" t="s">
        <v>2092</v>
      </c>
      <c r="L45" t="s">
        <v>2093</v>
      </c>
      <c r="M45" t="s">
        <v>13</v>
      </c>
      <c r="N45" t="s">
        <v>2094</v>
      </c>
      <c r="O45" t="s">
        <v>2103</v>
      </c>
      <c r="P45">
        <v>410</v>
      </c>
      <c r="Q45" t="b">
        <v>0</v>
      </c>
      <c r="R45" t="b">
        <v>1</v>
      </c>
      <c r="S45" t="b">
        <v>1</v>
      </c>
      <c r="T45" t="s">
        <v>7</v>
      </c>
      <c r="U45" t="b">
        <v>0</v>
      </c>
      <c r="V45" t="b">
        <v>0</v>
      </c>
      <c r="W45">
        <v>813</v>
      </c>
      <c r="X45">
        <v>0</v>
      </c>
      <c r="Y45">
        <v>0</v>
      </c>
      <c r="Z45">
        <v>0.99</v>
      </c>
      <c r="AA45">
        <v>0.82799999999999996</v>
      </c>
      <c r="AB45">
        <v>0.90900000000000003</v>
      </c>
      <c r="AC45">
        <v>0.97899999999999998</v>
      </c>
      <c r="AD45">
        <v>4</v>
      </c>
      <c r="AE45">
        <v>2</v>
      </c>
      <c r="AF45">
        <v>2.5739999999999998</v>
      </c>
      <c r="AG45">
        <v>1292.27</v>
      </c>
      <c r="AH45" t="s">
        <v>1981</v>
      </c>
      <c r="AI45" t="s">
        <v>2096</v>
      </c>
      <c r="AJ45" t="s">
        <v>2097</v>
      </c>
      <c r="AK45">
        <v>0</v>
      </c>
      <c r="AL45">
        <v>163222</v>
      </c>
      <c r="AM45">
        <v>0</v>
      </c>
      <c r="AN45">
        <v>55022</v>
      </c>
      <c r="AO45">
        <v>112911</v>
      </c>
      <c r="AP45">
        <v>90712</v>
      </c>
      <c r="AQ45">
        <v>954914</v>
      </c>
      <c r="AR45">
        <v>213952</v>
      </c>
      <c r="AS45">
        <v>0</v>
      </c>
      <c r="AT45">
        <v>163222.5</v>
      </c>
      <c r="AU45">
        <v>0</v>
      </c>
      <c r="AV45">
        <v>55022.125</v>
      </c>
      <c r="AW45">
        <v>112911.375</v>
      </c>
      <c r="AX45">
        <v>90712.1875</v>
      </c>
      <c r="AY45">
        <v>954913.5625</v>
      </c>
      <c r="AZ45">
        <v>213952.3125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0</v>
      </c>
      <c r="BH45">
        <v>0</v>
      </c>
    </row>
    <row r="46" spans="1:60" x14ac:dyDescent="0.55000000000000004">
      <c r="A46">
        <v>814</v>
      </c>
      <c r="B46">
        <v>3.4670000000000001</v>
      </c>
      <c r="C46">
        <v>526.35175000000004</v>
      </c>
      <c r="D46" t="s">
        <v>2091</v>
      </c>
      <c r="E46" t="s">
        <v>1</v>
      </c>
      <c r="F46" t="s">
        <v>2</v>
      </c>
      <c r="G46">
        <v>0.5</v>
      </c>
      <c r="H46" t="b">
        <v>1</v>
      </c>
      <c r="I46">
        <v>6.617</v>
      </c>
      <c r="J46">
        <v>526.35137999999995</v>
      </c>
      <c r="K46" t="s">
        <v>2092</v>
      </c>
      <c r="L46" t="s">
        <v>2093</v>
      </c>
      <c r="M46" t="s">
        <v>13</v>
      </c>
      <c r="N46" t="s">
        <v>2094</v>
      </c>
      <c r="O46" t="s">
        <v>2109</v>
      </c>
      <c r="P46">
        <v>410</v>
      </c>
      <c r="Q46" t="b">
        <v>0</v>
      </c>
      <c r="R46" t="b">
        <v>1</v>
      </c>
      <c r="S46" t="b">
        <v>1</v>
      </c>
      <c r="T46" t="s">
        <v>7</v>
      </c>
      <c r="U46" t="b">
        <v>0</v>
      </c>
      <c r="V46" t="b">
        <v>0</v>
      </c>
      <c r="W46">
        <v>814</v>
      </c>
      <c r="X46">
        <v>0</v>
      </c>
      <c r="Y46">
        <v>0</v>
      </c>
      <c r="Z46">
        <v>0.99</v>
      </c>
      <c r="AA46">
        <v>0.90400000000000003</v>
      </c>
      <c r="AB46">
        <v>0.95</v>
      </c>
      <c r="AC46">
        <v>0.98</v>
      </c>
      <c r="AD46">
        <v>4</v>
      </c>
      <c r="AE46">
        <v>2</v>
      </c>
      <c r="AF46">
        <v>2.6</v>
      </c>
      <c r="AG46">
        <v>1774.34</v>
      </c>
      <c r="AH46" t="s">
        <v>1877</v>
      </c>
      <c r="AI46" t="s">
        <v>2098</v>
      </c>
      <c r="AJ46" t="s">
        <v>2099</v>
      </c>
      <c r="AK46">
        <v>0</v>
      </c>
      <c r="AL46">
        <v>57951</v>
      </c>
      <c r="AM46">
        <v>0</v>
      </c>
      <c r="AN46">
        <v>1713906</v>
      </c>
      <c r="AO46">
        <v>1833297</v>
      </c>
      <c r="AP46">
        <v>751078</v>
      </c>
      <c r="AQ46">
        <v>425651</v>
      </c>
      <c r="AR46">
        <v>996211</v>
      </c>
      <c r="AS46">
        <v>0</v>
      </c>
      <c r="AT46">
        <v>57950.8125</v>
      </c>
      <c r="AU46">
        <v>0</v>
      </c>
      <c r="AV46">
        <v>1713906.125</v>
      </c>
      <c r="AW46">
        <v>1833296.625</v>
      </c>
      <c r="AX46">
        <v>751078.3125</v>
      </c>
      <c r="AY46">
        <v>425651.4375</v>
      </c>
      <c r="AZ46">
        <v>996211.375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0</v>
      </c>
      <c r="BH46">
        <v>0</v>
      </c>
    </row>
    <row r="47" spans="1:60" x14ac:dyDescent="0.55000000000000004">
      <c r="A47">
        <v>827</v>
      </c>
      <c r="B47">
        <v>3.036</v>
      </c>
      <c r="C47">
        <v>528.31035999999995</v>
      </c>
      <c r="D47" t="s">
        <v>2100</v>
      </c>
      <c r="E47" t="s">
        <v>32</v>
      </c>
      <c r="F47" t="s">
        <v>2</v>
      </c>
      <c r="G47">
        <v>0.38</v>
      </c>
      <c r="H47" t="b">
        <v>1</v>
      </c>
      <c r="I47">
        <v>6.2809999999999997</v>
      </c>
      <c r="J47">
        <v>528.30957000000001</v>
      </c>
      <c r="K47" t="s">
        <v>2101</v>
      </c>
      <c r="L47" t="s">
        <v>1932</v>
      </c>
      <c r="M47" t="s">
        <v>1932</v>
      </c>
      <c r="N47" t="s">
        <v>2102</v>
      </c>
      <c r="O47" t="s">
        <v>2115</v>
      </c>
      <c r="P47">
        <v>410</v>
      </c>
      <c r="Q47" t="b">
        <v>0</v>
      </c>
      <c r="R47" t="b">
        <v>1</v>
      </c>
      <c r="S47" t="b">
        <v>1</v>
      </c>
      <c r="T47" t="s">
        <v>7</v>
      </c>
      <c r="U47" t="b">
        <v>0</v>
      </c>
      <c r="V47" t="b">
        <v>0</v>
      </c>
      <c r="W47">
        <v>827</v>
      </c>
      <c r="X47">
        <v>0</v>
      </c>
      <c r="Y47">
        <v>0</v>
      </c>
      <c r="Z47">
        <v>0.99</v>
      </c>
      <c r="AA47">
        <v>0.42</v>
      </c>
      <c r="AB47">
        <v>0.49399999999999999</v>
      </c>
      <c r="AC47">
        <v>0.95899999999999996</v>
      </c>
      <c r="AD47">
        <v>4</v>
      </c>
      <c r="AE47">
        <v>2</v>
      </c>
      <c r="AF47">
        <v>2.3889999999999998</v>
      </c>
      <c r="AG47">
        <v>30.56</v>
      </c>
      <c r="AH47" t="s">
        <v>1941</v>
      </c>
      <c r="AI47" t="s">
        <v>2104</v>
      </c>
      <c r="AJ47" t="s">
        <v>2105</v>
      </c>
      <c r="AK47">
        <v>0</v>
      </c>
      <c r="AL47">
        <v>1594</v>
      </c>
      <c r="AM47">
        <v>0</v>
      </c>
      <c r="AN47">
        <v>37556</v>
      </c>
      <c r="AO47">
        <v>37123</v>
      </c>
      <c r="AP47">
        <v>19234</v>
      </c>
      <c r="AQ47">
        <v>15355</v>
      </c>
      <c r="AR47">
        <v>21815</v>
      </c>
      <c r="AS47">
        <v>0</v>
      </c>
      <c r="AT47">
        <v>1594.3125</v>
      </c>
      <c r="AU47">
        <v>0</v>
      </c>
      <c r="AV47">
        <v>37556.1875</v>
      </c>
      <c r="AW47">
        <v>37122.625</v>
      </c>
      <c r="AX47">
        <v>19234.0625</v>
      </c>
      <c r="AY47">
        <v>15355.25</v>
      </c>
      <c r="AZ47">
        <v>21814.8125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0</v>
      </c>
      <c r="BH47">
        <v>0</v>
      </c>
    </row>
    <row r="48" spans="1:60" x14ac:dyDescent="0.55000000000000004">
      <c r="A48">
        <v>863</v>
      </c>
      <c r="B48">
        <v>14.587999999999999</v>
      </c>
      <c r="C48">
        <v>536.50476000000003</v>
      </c>
      <c r="D48" t="s">
        <v>2106</v>
      </c>
      <c r="E48" t="s">
        <v>32</v>
      </c>
      <c r="F48" t="s">
        <v>2</v>
      </c>
      <c r="G48">
        <v>0.25</v>
      </c>
      <c r="H48" t="b">
        <v>1</v>
      </c>
      <c r="I48">
        <v>9.6769999999999996</v>
      </c>
      <c r="J48">
        <v>536.50482</v>
      </c>
      <c r="K48" t="s">
        <v>2107</v>
      </c>
      <c r="L48" t="s">
        <v>4</v>
      </c>
      <c r="N48" t="s">
        <v>2108</v>
      </c>
      <c r="O48" t="s">
        <v>2115</v>
      </c>
      <c r="P48">
        <v>410</v>
      </c>
      <c r="Q48" t="b">
        <v>0</v>
      </c>
      <c r="R48" t="b">
        <v>1</v>
      </c>
      <c r="S48" t="b">
        <v>1</v>
      </c>
      <c r="T48" t="s">
        <v>7</v>
      </c>
      <c r="U48" t="b">
        <v>0</v>
      </c>
      <c r="V48" t="b">
        <v>0</v>
      </c>
      <c r="W48">
        <v>863</v>
      </c>
      <c r="X48">
        <v>0</v>
      </c>
      <c r="Y48">
        <v>0</v>
      </c>
      <c r="Z48">
        <v>1</v>
      </c>
      <c r="AA48">
        <v>0.65600000000000003</v>
      </c>
      <c r="AB48">
        <v>0.746</v>
      </c>
      <c r="AC48">
        <v>0.95899999999999996</v>
      </c>
      <c r="AD48">
        <v>9</v>
      </c>
      <c r="AE48">
        <v>2</v>
      </c>
      <c r="AF48">
        <v>2.4969999999999999</v>
      </c>
      <c r="AG48">
        <v>24.35</v>
      </c>
      <c r="AH48" t="s">
        <v>2008</v>
      </c>
      <c r="AI48" t="s">
        <v>2110</v>
      </c>
      <c r="AJ48" t="s">
        <v>2111</v>
      </c>
      <c r="AK48">
        <v>0</v>
      </c>
      <c r="AL48">
        <v>0</v>
      </c>
      <c r="AM48">
        <v>0</v>
      </c>
      <c r="AN48">
        <v>26464</v>
      </c>
      <c r="AO48">
        <v>25463</v>
      </c>
      <c r="AP48">
        <v>16467</v>
      </c>
      <c r="AQ48">
        <v>0</v>
      </c>
      <c r="AR48">
        <v>17341</v>
      </c>
      <c r="AS48">
        <v>0</v>
      </c>
      <c r="AT48">
        <v>0</v>
      </c>
      <c r="AU48">
        <v>0</v>
      </c>
      <c r="AV48">
        <v>26464.1875</v>
      </c>
      <c r="AW48">
        <v>25463.0625</v>
      </c>
      <c r="AX48">
        <v>16467.1875</v>
      </c>
      <c r="AY48">
        <v>0</v>
      </c>
      <c r="AZ48">
        <v>17341.25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0</v>
      </c>
      <c r="BH48">
        <v>0</v>
      </c>
    </row>
    <row r="49" spans="1:60" x14ac:dyDescent="0.55000000000000004">
      <c r="A49">
        <v>875</v>
      </c>
      <c r="B49">
        <v>2.202</v>
      </c>
      <c r="C49">
        <v>538.31482000000005</v>
      </c>
      <c r="D49" t="s">
        <v>2112</v>
      </c>
      <c r="E49" t="s">
        <v>1</v>
      </c>
      <c r="F49" t="s">
        <v>2</v>
      </c>
      <c r="G49">
        <v>0.25</v>
      </c>
      <c r="H49" t="b">
        <v>1</v>
      </c>
      <c r="I49">
        <v>5.6180000000000003</v>
      </c>
      <c r="J49">
        <v>538.31500000000005</v>
      </c>
      <c r="K49" t="s">
        <v>2113</v>
      </c>
      <c r="L49" t="s">
        <v>13</v>
      </c>
      <c r="M49" t="s">
        <v>13</v>
      </c>
      <c r="N49" t="s">
        <v>2114</v>
      </c>
      <c r="O49" t="s">
        <v>2123</v>
      </c>
      <c r="P49">
        <v>410</v>
      </c>
      <c r="Q49" t="b">
        <v>0</v>
      </c>
      <c r="R49" t="b">
        <v>1</v>
      </c>
      <c r="S49" t="b">
        <v>1</v>
      </c>
      <c r="T49" t="s">
        <v>7</v>
      </c>
      <c r="U49" t="b">
        <v>0</v>
      </c>
      <c r="V49" t="b">
        <v>0</v>
      </c>
      <c r="W49">
        <v>875</v>
      </c>
      <c r="X49">
        <v>0</v>
      </c>
      <c r="Y49">
        <v>0</v>
      </c>
      <c r="Z49">
        <v>1</v>
      </c>
      <c r="AA49">
        <v>0.83299999999999996</v>
      </c>
      <c r="AB49">
        <v>0.88900000000000001</v>
      </c>
      <c r="AC49">
        <v>0.96099999999999997</v>
      </c>
      <c r="AD49">
        <v>3</v>
      </c>
      <c r="AE49">
        <v>2</v>
      </c>
      <c r="AF49">
        <v>2.5640000000000001</v>
      </c>
      <c r="AG49">
        <v>496.03</v>
      </c>
      <c r="AH49" t="s">
        <v>1981</v>
      </c>
      <c r="AI49" t="s">
        <v>2116</v>
      </c>
      <c r="AJ49" t="s">
        <v>2117</v>
      </c>
      <c r="AK49">
        <v>0</v>
      </c>
      <c r="AL49">
        <v>231351</v>
      </c>
      <c r="AM49">
        <v>0</v>
      </c>
      <c r="AN49">
        <v>828611</v>
      </c>
      <c r="AO49">
        <v>1141988</v>
      </c>
      <c r="AP49">
        <v>1425607</v>
      </c>
      <c r="AQ49">
        <v>1542324</v>
      </c>
      <c r="AR49">
        <v>1607051</v>
      </c>
      <c r="AS49">
        <v>0</v>
      </c>
      <c r="AT49">
        <v>231351.25</v>
      </c>
      <c r="AU49">
        <v>0</v>
      </c>
      <c r="AV49">
        <v>828611.25</v>
      </c>
      <c r="AW49">
        <v>1141987.875</v>
      </c>
      <c r="AX49">
        <v>1425607.0625</v>
      </c>
      <c r="AY49">
        <v>1542323.8125</v>
      </c>
      <c r="AZ49">
        <v>1607050.5625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0</v>
      </c>
      <c r="BH49">
        <v>0</v>
      </c>
    </row>
    <row r="50" spans="1:60" x14ac:dyDescent="0.55000000000000004">
      <c r="A50">
        <v>876</v>
      </c>
      <c r="B50">
        <v>2.1040000000000001</v>
      </c>
      <c r="C50">
        <v>538.31506000000002</v>
      </c>
      <c r="D50" t="s">
        <v>2112</v>
      </c>
      <c r="E50" t="s">
        <v>1</v>
      </c>
      <c r="F50" t="s">
        <v>2</v>
      </c>
      <c r="G50">
        <v>0.5</v>
      </c>
      <c r="H50" t="b">
        <v>1</v>
      </c>
      <c r="I50">
        <v>5.6180000000000003</v>
      </c>
      <c r="J50">
        <v>538.31500000000005</v>
      </c>
      <c r="K50" t="s">
        <v>2113</v>
      </c>
      <c r="L50" t="s">
        <v>13</v>
      </c>
      <c r="M50" t="s">
        <v>13</v>
      </c>
      <c r="N50" t="s">
        <v>2114</v>
      </c>
      <c r="O50" t="s">
        <v>2123</v>
      </c>
      <c r="P50">
        <v>410</v>
      </c>
      <c r="Q50" t="b">
        <v>0</v>
      </c>
      <c r="R50" t="b">
        <v>1</v>
      </c>
      <c r="S50" t="b">
        <v>1</v>
      </c>
      <c r="T50" t="s">
        <v>7</v>
      </c>
      <c r="U50" t="b">
        <v>0</v>
      </c>
      <c r="V50" t="b">
        <v>0</v>
      </c>
      <c r="W50">
        <v>876</v>
      </c>
      <c r="X50">
        <v>0</v>
      </c>
      <c r="Y50">
        <v>0</v>
      </c>
      <c r="Z50">
        <v>1</v>
      </c>
      <c r="AA50">
        <v>0.79</v>
      </c>
      <c r="AB50">
        <v>0.86099999999999999</v>
      </c>
      <c r="AC50">
        <v>0.93600000000000005</v>
      </c>
      <c r="AD50">
        <v>3</v>
      </c>
      <c r="AE50">
        <v>2</v>
      </c>
      <c r="AF50">
        <v>2.54</v>
      </c>
      <c r="AG50">
        <v>360474.4</v>
      </c>
      <c r="AH50" t="s">
        <v>1877</v>
      </c>
      <c r="AI50" t="s">
        <v>2118</v>
      </c>
      <c r="AJ50" t="s">
        <v>2119</v>
      </c>
      <c r="AK50">
        <v>0</v>
      </c>
      <c r="AL50">
        <v>144214</v>
      </c>
      <c r="AM50">
        <v>0</v>
      </c>
      <c r="AN50">
        <v>2993047</v>
      </c>
      <c r="AO50">
        <v>3061442</v>
      </c>
      <c r="AP50">
        <v>1425607</v>
      </c>
      <c r="AQ50">
        <v>1542324</v>
      </c>
      <c r="AR50">
        <v>1607051</v>
      </c>
      <c r="AS50">
        <v>0</v>
      </c>
      <c r="AT50">
        <v>144213.75</v>
      </c>
      <c r="AU50">
        <v>0</v>
      </c>
      <c r="AV50">
        <v>2993047.125</v>
      </c>
      <c r="AW50">
        <v>3061442</v>
      </c>
      <c r="AX50">
        <v>1425607.0625</v>
      </c>
      <c r="AY50">
        <v>1542323.8125</v>
      </c>
      <c r="AZ50">
        <v>1607050.5625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0</v>
      </c>
      <c r="BH50">
        <v>0</v>
      </c>
    </row>
    <row r="51" spans="1:60" x14ac:dyDescent="0.55000000000000004">
      <c r="A51">
        <v>887</v>
      </c>
      <c r="B51">
        <v>3.0379999999999998</v>
      </c>
      <c r="C51">
        <v>540.33043999999995</v>
      </c>
      <c r="D51" t="s">
        <v>2120</v>
      </c>
      <c r="E51" t="s">
        <v>1</v>
      </c>
      <c r="F51" t="s">
        <v>2</v>
      </c>
      <c r="G51">
        <v>0.25</v>
      </c>
      <c r="H51" t="b">
        <v>1</v>
      </c>
      <c r="I51">
        <v>6.1310000000000002</v>
      </c>
      <c r="J51">
        <v>540.33069</v>
      </c>
      <c r="K51" t="s">
        <v>2121</v>
      </c>
      <c r="L51" t="s">
        <v>13</v>
      </c>
      <c r="M51" t="s">
        <v>13</v>
      </c>
      <c r="N51" t="s">
        <v>2122</v>
      </c>
      <c r="O51" t="s">
        <v>2131</v>
      </c>
      <c r="P51">
        <v>410</v>
      </c>
      <c r="Q51" t="b">
        <v>0</v>
      </c>
      <c r="R51" t="b">
        <v>1</v>
      </c>
      <c r="S51" t="b">
        <v>1</v>
      </c>
      <c r="T51" t="s">
        <v>7</v>
      </c>
      <c r="U51" t="b">
        <v>0</v>
      </c>
      <c r="V51" t="b">
        <v>0</v>
      </c>
      <c r="W51">
        <v>887</v>
      </c>
      <c r="X51">
        <v>0</v>
      </c>
      <c r="Y51">
        <v>0</v>
      </c>
      <c r="Z51">
        <v>1</v>
      </c>
      <c r="AA51">
        <v>0.91</v>
      </c>
      <c r="AB51">
        <v>0.92500000000000004</v>
      </c>
      <c r="AC51">
        <v>0.93100000000000005</v>
      </c>
      <c r="AD51">
        <v>3</v>
      </c>
      <c r="AE51">
        <v>2</v>
      </c>
      <c r="AF51">
        <v>2.577</v>
      </c>
      <c r="AG51">
        <v>212904.2</v>
      </c>
      <c r="AH51" t="s">
        <v>1981</v>
      </c>
      <c r="AI51" t="s">
        <v>2124</v>
      </c>
      <c r="AJ51" t="s">
        <v>2125</v>
      </c>
      <c r="AK51">
        <v>0</v>
      </c>
      <c r="AL51">
        <v>18673673</v>
      </c>
      <c r="AM51">
        <v>0</v>
      </c>
      <c r="AN51">
        <v>3133071</v>
      </c>
      <c r="AO51">
        <v>8044622</v>
      </c>
      <c r="AP51">
        <v>6642129</v>
      </c>
      <c r="AQ51">
        <v>89372548</v>
      </c>
      <c r="AR51">
        <v>18889905</v>
      </c>
      <c r="AS51">
        <v>0</v>
      </c>
      <c r="AT51">
        <v>18673673</v>
      </c>
      <c r="AU51">
        <v>0</v>
      </c>
      <c r="AV51">
        <v>3133071.1875</v>
      </c>
      <c r="AW51">
        <v>8044622.1875</v>
      </c>
      <c r="AX51">
        <v>6642129.125</v>
      </c>
      <c r="AY51">
        <v>89372547.5</v>
      </c>
      <c r="AZ51">
        <v>18889905.125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0</v>
      </c>
      <c r="BH51">
        <v>0</v>
      </c>
    </row>
    <row r="52" spans="1:60" x14ac:dyDescent="0.55000000000000004">
      <c r="A52">
        <v>888</v>
      </c>
      <c r="B52">
        <v>2.8740000000000001</v>
      </c>
      <c r="C52">
        <v>540.33069</v>
      </c>
      <c r="D52" t="s">
        <v>2120</v>
      </c>
      <c r="E52" t="s">
        <v>1</v>
      </c>
      <c r="F52" t="s">
        <v>2</v>
      </c>
      <c r="G52">
        <v>0.63</v>
      </c>
      <c r="H52" t="b">
        <v>1</v>
      </c>
      <c r="I52">
        <v>6.1310000000000002</v>
      </c>
      <c r="J52">
        <v>540.33069</v>
      </c>
      <c r="K52" t="s">
        <v>2121</v>
      </c>
      <c r="L52" t="s">
        <v>13</v>
      </c>
      <c r="M52" t="s">
        <v>13</v>
      </c>
      <c r="N52" t="s">
        <v>2122</v>
      </c>
      <c r="O52" t="s">
        <v>2137</v>
      </c>
      <c r="P52">
        <v>410</v>
      </c>
      <c r="Q52" t="b">
        <v>0</v>
      </c>
      <c r="R52" t="b">
        <v>1</v>
      </c>
      <c r="S52" t="b">
        <v>1</v>
      </c>
      <c r="T52" t="s">
        <v>7</v>
      </c>
      <c r="U52" t="b">
        <v>0</v>
      </c>
      <c r="V52" t="b">
        <v>0</v>
      </c>
      <c r="W52">
        <v>888</v>
      </c>
      <c r="X52">
        <v>0</v>
      </c>
      <c r="Y52">
        <v>0</v>
      </c>
      <c r="Z52">
        <v>1</v>
      </c>
      <c r="AA52">
        <v>0.93700000000000006</v>
      </c>
      <c r="AB52">
        <v>0.94399999999999995</v>
      </c>
      <c r="AC52">
        <v>0.96399999999999997</v>
      </c>
      <c r="AD52">
        <v>3</v>
      </c>
      <c r="AE52">
        <v>2</v>
      </c>
      <c r="AF52">
        <v>2.6019999999999999</v>
      </c>
      <c r="AG52">
        <v>234005.5</v>
      </c>
      <c r="AH52" t="s">
        <v>1877</v>
      </c>
      <c r="AI52" t="s">
        <v>2126</v>
      </c>
      <c r="AJ52" t="s">
        <v>2127</v>
      </c>
      <c r="AK52">
        <v>0</v>
      </c>
      <c r="AL52">
        <v>2304950</v>
      </c>
      <c r="AM52">
        <v>0</v>
      </c>
      <c r="AN52">
        <v>138833347</v>
      </c>
      <c r="AO52">
        <v>145888312</v>
      </c>
      <c r="AP52">
        <v>79798748</v>
      </c>
      <c r="AQ52">
        <v>40837468</v>
      </c>
      <c r="AR52">
        <v>90095938</v>
      </c>
      <c r="AS52">
        <v>0</v>
      </c>
      <c r="AT52">
        <v>2304949.875</v>
      </c>
      <c r="AU52">
        <v>0</v>
      </c>
      <c r="AV52">
        <v>138833347</v>
      </c>
      <c r="AW52">
        <v>145888311.5</v>
      </c>
      <c r="AX52">
        <v>79798747.5</v>
      </c>
      <c r="AY52">
        <v>40837467.875</v>
      </c>
      <c r="AZ52">
        <v>90095937.75</v>
      </c>
      <c r="BA52">
        <v>0</v>
      </c>
      <c r="BB52">
        <v>0</v>
      </c>
      <c r="BC52">
        <v>0</v>
      </c>
      <c r="BD52">
        <v>0</v>
      </c>
      <c r="BE52">
        <v>0</v>
      </c>
      <c r="BF52">
        <v>0</v>
      </c>
      <c r="BG52">
        <v>0</v>
      </c>
      <c r="BH52">
        <v>0</v>
      </c>
    </row>
    <row r="53" spans="1:60" x14ac:dyDescent="0.55000000000000004">
      <c r="A53">
        <v>927</v>
      </c>
      <c r="B53">
        <v>2.6949999999999998</v>
      </c>
      <c r="C53">
        <v>550.3501</v>
      </c>
      <c r="D53" t="s">
        <v>2128</v>
      </c>
      <c r="E53" t="s">
        <v>1</v>
      </c>
      <c r="F53" t="s">
        <v>2</v>
      </c>
      <c r="G53">
        <v>0.5</v>
      </c>
      <c r="H53" t="b">
        <v>1</v>
      </c>
      <c r="I53">
        <v>6.782</v>
      </c>
      <c r="J53">
        <v>550.35137999999995</v>
      </c>
      <c r="K53" t="s">
        <v>2129</v>
      </c>
      <c r="L53" t="s">
        <v>2093</v>
      </c>
      <c r="M53" t="s">
        <v>13</v>
      </c>
      <c r="N53" t="s">
        <v>2130</v>
      </c>
      <c r="O53" t="s">
        <v>2137</v>
      </c>
      <c r="P53">
        <v>410</v>
      </c>
      <c r="Q53" t="b">
        <v>0</v>
      </c>
      <c r="R53" t="b">
        <v>1</v>
      </c>
      <c r="S53" t="b">
        <v>1</v>
      </c>
      <c r="T53" t="s">
        <v>7</v>
      </c>
      <c r="U53" t="b">
        <v>0</v>
      </c>
      <c r="V53" t="b">
        <v>0</v>
      </c>
      <c r="W53">
        <v>927</v>
      </c>
      <c r="X53">
        <v>0</v>
      </c>
      <c r="Y53">
        <v>0</v>
      </c>
      <c r="Z53">
        <v>0.98</v>
      </c>
      <c r="AA53">
        <v>0.42599999999999999</v>
      </c>
      <c r="AB53">
        <v>0.53100000000000003</v>
      </c>
      <c r="AC53">
        <v>0.96499999999999997</v>
      </c>
      <c r="AD53">
        <v>3</v>
      </c>
      <c r="AE53">
        <v>2</v>
      </c>
      <c r="AF53">
        <v>2.3940000000000001</v>
      </c>
      <c r="AG53">
        <v>38.11</v>
      </c>
      <c r="AH53" t="s">
        <v>1941</v>
      </c>
      <c r="AI53" t="s">
        <v>2132</v>
      </c>
      <c r="AJ53" t="s">
        <v>2133</v>
      </c>
      <c r="AK53">
        <v>0</v>
      </c>
      <c r="AL53">
        <v>0</v>
      </c>
      <c r="AM53">
        <v>2543</v>
      </c>
      <c r="AN53">
        <v>41755</v>
      </c>
      <c r="AO53">
        <v>40473</v>
      </c>
      <c r="AP53">
        <v>20771</v>
      </c>
      <c r="AQ53">
        <v>10831</v>
      </c>
      <c r="AR53">
        <v>22488</v>
      </c>
      <c r="AS53">
        <v>0</v>
      </c>
      <c r="AT53">
        <v>0</v>
      </c>
      <c r="AU53">
        <v>2543.375</v>
      </c>
      <c r="AV53">
        <v>41754.625</v>
      </c>
      <c r="AW53">
        <v>40472.6875</v>
      </c>
      <c r="AX53">
        <v>20771.3125</v>
      </c>
      <c r="AY53">
        <v>10831</v>
      </c>
      <c r="AZ53">
        <v>22487.9375</v>
      </c>
      <c r="BA53">
        <v>0</v>
      </c>
      <c r="BB53">
        <v>0</v>
      </c>
      <c r="BC53">
        <v>0</v>
      </c>
      <c r="BD53">
        <v>0</v>
      </c>
      <c r="BE53">
        <v>0</v>
      </c>
      <c r="BF53">
        <v>0</v>
      </c>
      <c r="BG53">
        <v>0</v>
      </c>
      <c r="BH53">
        <v>0</v>
      </c>
    </row>
    <row r="54" spans="1:60" x14ac:dyDescent="0.55000000000000004">
      <c r="A54">
        <v>939</v>
      </c>
      <c r="B54">
        <v>2.5259999999999998</v>
      </c>
      <c r="C54">
        <v>552.33007999999995</v>
      </c>
      <c r="D54" t="s">
        <v>2134</v>
      </c>
      <c r="E54" t="s">
        <v>1</v>
      </c>
      <c r="F54" t="s">
        <v>2</v>
      </c>
      <c r="G54">
        <v>0.5</v>
      </c>
      <c r="H54" t="b">
        <v>1</v>
      </c>
      <c r="I54">
        <v>5.8710000000000004</v>
      </c>
      <c r="J54">
        <v>552.33069</v>
      </c>
      <c r="K54" t="s">
        <v>2135</v>
      </c>
      <c r="L54" t="s">
        <v>13</v>
      </c>
      <c r="M54" t="s">
        <v>13</v>
      </c>
      <c r="N54" t="s">
        <v>2136</v>
      </c>
      <c r="O54" t="s">
        <v>2145</v>
      </c>
      <c r="P54">
        <v>410</v>
      </c>
      <c r="Q54" t="b">
        <v>0</v>
      </c>
      <c r="R54" t="b">
        <v>1</v>
      </c>
      <c r="S54" t="b">
        <v>1</v>
      </c>
      <c r="T54" t="s">
        <v>7</v>
      </c>
      <c r="U54" t="b">
        <v>0</v>
      </c>
      <c r="V54" t="b">
        <v>0</v>
      </c>
      <c r="W54">
        <v>939</v>
      </c>
      <c r="X54">
        <v>0</v>
      </c>
      <c r="Y54">
        <v>0</v>
      </c>
      <c r="Z54">
        <v>1</v>
      </c>
      <c r="AA54">
        <v>0.80800000000000005</v>
      </c>
      <c r="AB54">
        <v>0.84799999999999998</v>
      </c>
      <c r="AC54">
        <v>0.96299999999999997</v>
      </c>
      <c r="AD54">
        <v>3</v>
      </c>
      <c r="AE54">
        <v>2</v>
      </c>
      <c r="AF54">
        <v>2.5510000000000002</v>
      </c>
      <c r="AG54">
        <v>90.11</v>
      </c>
      <c r="AH54" t="s">
        <v>1877</v>
      </c>
      <c r="AI54" t="s">
        <v>2138</v>
      </c>
      <c r="AJ54" t="s">
        <v>2139</v>
      </c>
      <c r="AK54">
        <v>0</v>
      </c>
      <c r="AL54">
        <v>0</v>
      </c>
      <c r="AM54">
        <v>24190</v>
      </c>
      <c r="AN54">
        <v>266148</v>
      </c>
      <c r="AO54">
        <v>284027</v>
      </c>
      <c r="AP54">
        <v>127694</v>
      </c>
      <c r="AQ54">
        <v>84669</v>
      </c>
      <c r="AR54">
        <v>160885</v>
      </c>
      <c r="AS54">
        <v>0</v>
      </c>
      <c r="AT54">
        <v>0</v>
      </c>
      <c r="AU54">
        <v>24190.4375</v>
      </c>
      <c r="AV54">
        <v>266148.3125</v>
      </c>
      <c r="AW54">
        <v>284026.75</v>
      </c>
      <c r="AX54">
        <v>127694.25</v>
      </c>
      <c r="AY54">
        <v>84669.3125</v>
      </c>
      <c r="AZ54">
        <v>160885.4375</v>
      </c>
      <c r="BA54">
        <v>0</v>
      </c>
      <c r="BB54">
        <v>0</v>
      </c>
      <c r="BC54">
        <v>0</v>
      </c>
      <c r="BD54">
        <v>0</v>
      </c>
      <c r="BE54">
        <v>0</v>
      </c>
      <c r="BF54">
        <v>0</v>
      </c>
      <c r="BG54">
        <v>0</v>
      </c>
      <c r="BH54">
        <v>0</v>
      </c>
    </row>
    <row r="55" spans="1:60" x14ac:dyDescent="0.55000000000000004">
      <c r="A55">
        <v>940</v>
      </c>
      <c r="B55">
        <v>2.9860000000000002</v>
      </c>
      <c r="C55">
        <v>552.33043999999995</v>
      </c>
      <c r="D55" t="s">
        <v>2134</v>
      </c>
      <c r="E55" t="s">
        <v>1</v>
      </c>
      <c r="F55" t="s">
        <v>2</v>
      </c>
      <c r="G55">
        <v>0.25</v>
      </c>
      <c r="H55" t="b">
        <v>1</v>
      </c>
      <c r="I55">
        <v>5.8710000000000004</v>
      </c>
      <c r="J55">
        <v>552.33069</v>
      </c>
      <c r="K55" t="s">
        <v>2135</v>
      </c>
      <c r="L55" t="s">
        <v>13</v>
      </c>
      <c r="M55" t="s">
        <v>13</v>
      </c>
      <c r="N55" t="s">
        <v>2136</v>
      </c>
      <c r="O55" t="s">
        <v>2145</v>
      </c>
      <c r="P55">
        <v>410</v>
      </c>
      <c r="Q55" t="b">
        <v>0</v>
      </c>
      <c r="R55" t="b">
        <v>1</v>
      </c>
      <c r="S55" t="b">
        <v>1</v>
      </c>
      <c r="T55" t="s">
        <v>7</v>
      </c>
      <c r="U55" t="b">
        <v>0</v>
      </c>
      <c r="V55" t="b">
        <v>0</v>
      </c>
      <c r="W55">
        <v>940</v>
      </c>
      <c r="X55">
        <v>0</v>
      </c>
      <c r="Y55">
        <v>0</v>
      </c>
      <c r="Z55">
        <v>1</v>
      </c>
      <c r="AA55">
        <v>0.33700000000000002</v>
      </c>
      <c r="AB55">
        <v>0.40200000000000002</v>
      </c>
      <c r="AC55">
        <v>0.96399999999999997</v>
      </c>
      <c r="AD55">
        <v>3</v>
      </c>
      <c r="AE55">
        <v>2</v>
      </c>
      <c r="AF55">
        <v>2.355</v>
      </c>
      <c r="AG55">
        <v>6.76</v>
      </c>
      <c r="AH55" t="s">
        <v>2086</v>
      </c>
      <c r="AI55" t="s">
        <v>2140</v>
      </c>
      <c r="AJ55" t="s">
        <v>2141</v>
      </c>
      <c r="AK55">
        <v>0</v>
      </c>
      <c r="AL55">
        <v>0</v>
      </c>
      <c r="AM55">
        <v>2970</v>
      </c>
      <c r="AN55">
        <v>33626</v>
      </c>
      <c r="AO55">
        <v>33346</v>
      </c>
      <c r="AP55">
        <v>15652</v>
      </c>
      <c r="AQ55">
        <v>7159</v>
      </c>
      <c r="AR55">
        <v>18151</v>
      </c>
      <c r="AS55">
        <v>0</v>
      </c>
      <c r="AT55">
        <v>0</v>
      </c>
      <c r="AU55">
        <v>2969.9375</v>
      </c>
      <c r="AV55">
        <v>33625.9375</v>
      </c>
      <c r="AW55">
        <v>33346.4375</v>
      </c>
      <c r="AX55">
        <v>15652.1875</v>
      </c>
      <c r="AY55">
        <v>7159.125</v>
      </c>
      <c r="AZ55">
        <v>18151.375</v>
      </c>
      <c r="BA55">
        <v>0</v>
      </c>
      <c r="BB55">
        <v>0</v>
      </c>
      <c r="BC55">
        <v>0</v>
      </c>
      <c r="BD55">
        <v>0</v>
      </c>
      <c r="BE55">
        <v>0</v>
      </c>
      <c r="BF55">
        <v>0</v>
      </c>
      <c r="BG55">
        <v>0</v>
      </c>
      <c r="BH55">
        <v>0</v>
      </c>
    </row>
    <row r="56" spans="1:60" x14ac:dyDescent="0.55000000000000004">
      <c r="A56">
        <v>941</v>
      </c>
      <c r="B56">
        <v>3.6080000000000001</v>
      </c>
      <c r="C56">
        <v>552.36761000000001</v>
      </c>
      <c r="D56" t="s">
        <v>2142</v>
      </c>
      <c r="E56" t="s">
        <v>1</v>
      </c>
      <c r="F56" t="s">
        <v>2</v>
      </c>
      <c r="G56">
        <v>0.5</v>
      </c>
      <c r="H56" t="b">
        <v>1</v>
      </c>
      <c r="I56">
        <v>6.7249999999999996</v>
      </c>
      <c r="J56">
        <v>552.36712999999997</v>
      </c>
      <c r="K56" t="s">
        <v>2143</v>
      </c>
      <c r="L56" t="s">
        <v>2093</v>
      </c>
      <c r="M56" t="s">
        <v>13</v>
      </c>
      <c r="N56" t="s">
        <v>2144</v>
      </c>
      <c r="O56" t="s">
        <v>2153</v>
      </c>
      <c r="P56">
        <v>410</v>
      </c>
      <c r="Q56" t="b">
        <v>0</v>
      </c>
      <c r="R56" t="b">
        <v>1</v>
      </c>
      <c r="S56" t="b">
        <v>1</v>
      </c>
      <c r="T56" t="s">
        <v>7</v>
      </c>
      <c r="U56" t="b">
        <v>0</v>
      </c>
      <c r="V56" t="b">
        <v>0</v>
      </c>
      <c r="W56">
        <v>941</v>
      </c>
      <c r="X56">
        <v>0</v>
      </c>
      <c r="Y56">
        <v>0</v>
      </c>
      <c r="Z56">
        <v>0.99</v>
      </c>
      <c r="AA56">
        <v>0.90200000000000002</v>
      </c>
      <c r="AB56">
        <v>0.95199999999999996</v>
      </c>
      <c r="AC56">
        <v>0.98199999999999998</v>
      </c>
      <c r="AD56">
        <v>4</v>
      </c>
      <c r="AE56">
        <v>2</v>
      </c>
      <c r="AF56">
        <v>2.601</v>
      </c>
      <c r="AG56">
        <v>163.74</v>
      </c>
      <c r="AH56" t="s">
        <v>1877</v>
      </c>
      <c r="AI56" t="s">
        <v>2146</v>
      </c>
      <c r="AJ56" t="s">
        <v>2147</v>
      </c>
      <c r="AK56">
        <v>0</v>
      </c>
      <c r="AL56">
        <v>0</v>
      </c>
      <c r="AM56">
        <v>98427</v>
      </c>
      <c r="AN56">
        <v>943924</v>
      </c>
      <c r="AO56">
        <v>1041270</v>
      </c>
      <c r="AP56">
        <v>476122</v>
      </c>
      <c r="AQ56">
        <v>257928</v>
      </c>
      <c r="AR56">
        <v>534969</v>
      </c>
      <c r="AS56">
        <v>0</v>
      </c>
      <c r="AT56">
        <v>0</v>
      </c>
      <c r="AU56">
        <v>98426.875</v>
      </c>
      <c r="AV56">
        <v>943924.1875</v>
      </c>
      <c r="AW56">
        <v>1041270.5</v>
      </c>
      <c r="AX56">
        <v>476121.6875</v>
      </c>
      <c r="AY56">
        <v>257927.75</v>
      </c>
      <c r="AZ56">
        <v>534968.6875</v>
      </c>
      <c r="BA56">
        <v>0</v>
      </c>
      <c r="BB56">
        <v>0</v>
      </c>
      <c r="BC56">
        <v>0</v>
      </c>
      <c r="BD56">
        <v>0</v>
      </c>
      <c r="BE56">
        <v>0</v>
      </c>
      <c r="BF56">
        <v>0</v>
      </c>
      <c r="BG56">
        <v>0</v>
      </c>
      <c r="BH56">
        <v>0</v>
      </c>
    </row>
    <row r="57" spans="1:60" x14ac:dyDescent="0.55000000000000004">
      <c r="A57">
        <v>942</v>
      </c>
      <c r="B57">
        <v>3.734</v>
      </c>
      <c r="C57">
        <v>552.36767999999995</v>
      </c>
      <c r="D57" t="s">
        <v>2142</v>
      </c>
      <c r="E57" t="s">
        <v>1</v>
      </c>
      <c r="F57" t="s">
        <v>2</v>
      </c>
      <c r="G57">
        <v>0.25</v>
      </c>
      <c r="H57" t="b">
        <v>1</v>
      </c>
      <c r="I57">
        <v>6.7249999999999996</v>
      </c>
      <c r="J57">
        <v>552.36712999999997</v>
      </c>
      <c r="K57" t="s">
        <v>2143</v>
      </c>
      <c r="L57" t="s">
        <v>2093</v>
      </c>
      <c r="M57" t="s">
        <v>13</v>
      </c>
      <c r="N57" t="s">
        <v>2144</v>
      </c>
      <c r="O57" t="s">
        <v>2153</v>
      </c>
      <c r="P57">
        <v>410</v>
      </c>
      <c r="Q57" t="b">
        <v>0</v>
      </c>
      <c r="R57" t="b">
        <v>1</v>
      </c>
      <c r="S57" t="b">
        <v>1</v>
      </c>
      <c r="T57" t="s">
        <v>7</v>
      </c>
      <c r="U57" t="b">
        <v>0</v>
      </c>
      <c r="V57" t="b">
        <v>0</v>
      </c>
      <c r="W57">
        <v>942</v>
      </c>
      <c r="X57">
        <v>0</v>
      </c>
      <c r="Y57">
        <v>0</v>
      </c>
      <c r="Z57">
        <v>0.98</v>
      </c>
      <c r="AA57">
        <v>0.80600000000000005</v>
      </c>
      <c r="AB57">
        <v>0.89800000000000002</v>
      </c>
      <c r="AC57">
        <v>0.98099999999999998</v>
      </c>
      <c r="AD57">
        <v>4</v>
      </c>
      <c r="AE57">
        <v>2</v>
      </c>
      <c r="AF57">
        <v>2.5609999999999999</v>
      </c>
      <c r="AG57">
        <v>646.4</v>
      </c>
      <c r="AH57" t="s">
        <v>89</v>
      </c>
      <c r="AI57" t="s">
        <v>2148</v>
      </c>
      <c r="AJ57" t="s">
        <v>2149</v>
      </c>
      <c r="AK57">
        <v>0</v>
      </c>
      <c r="AL57">
        <v>0</v>
      </c>
      <c r="AM57">
        <v>98427</v>
      </c>
      <c r="AN57">
        <v>94912</v>
      </c>
      <c r="AO57">
        <v>201476</v>
      </c>
      <c r="AP57">
        <v>112031</v>
      </c>
      <c r="AQ57">
        <v>554573</v>
      </c>
      <c r="AR57">
        <v>534969</v>
      </c>
      <c r="AS57">
        <v>0</v>
      </c>
      <c r="AT57">
        <v>0</v>
      </c>
      <c r="AU57">
        <v>98426.875</v>
      </c>
      <c r="AV57">
        <v>94911.8125</v>
      </c>
      <c r="AW57">
        <v>201476.125</v>
      </c>
      <c r="AX57">
        <v>112031</v>
      </c>
      <c r="AY57">
        <v>554572.875</v>
      </c>
      <c r="AZ57">
        <v>534968.6875</v>
      </c>
      <c r="BA57">
        <v>0</v>
      </c>
      <c r="BB57">
        <v>0</v>
      </c>
      <c r="BC57">
        <v>0</v>
      </c>
      <c r="BD57">
        <v>0</v>
      </c>
      <c r="BE57">
        <v>0</v>
      </c>
      <c r="BF57">
        <v>0</v>
      </c>
      <c r="BG57">
        <v>0</v>
      </c>
      <c r="BH57">
        <v>0</v>
      </c>
    </row>
    <row r="58" spans="1:60" x14ac:dyDescent="0.55000000000000004">
      <c r="A58">
        <v>949</v>
      </c>
      <c r="B58">
        <v>3.411</v>
      </c>
      <c r="C58">
        <v>554.34655999999995</v>
      </c>
      <c r="D58" t="s">
        <v>2150</v>
      </c>
      <c r="E58" t="s">
        <v>1</v>
      </c>
      <c r="F58" t="s">
        <v>2</v>
      </c>
      <c r="G58">
        <v>0.25</v>
      </c>
      <c r="H58" t="b">
        <v>1</v>
      </c>
      <c r="I58">
        <v>6.4640000000000004</v>
      </c>
      <c r="J58">
        <v>554.34631000000002</v>
      </c>
      <c r="K58" t="s">
        <v>2151</v>
      </c>
      <c r="L58" t="s">
        <v>13</v>
      </c>
      <c r="M58" t="s">
        <v>13</v>
      </c>
      <c r="N58" t="s">
        <v>2152</v>
      </c>
      <c r="O58" t="s">
        <v>2161</v>
      </c>
      <c r="P58">
        <v>410</v>
      </c>
      <c r="Q58" t="b">
        <v>0</v>
      </c>
      <c r="R58" t="b">
        <v>1</v>
      </c>
      <c r="S58" t="b">
        <v>1</v>
      </c>
      <c r="T58" t="s">
        <v>7</v>
      </c>
      <c r="U58" t="b">
        <v>0</v>
      </c>
      <c r="V58" t="b">
        <v>0</v>
      </c>
      <c r="W58">
        <v>949</v>
      </c>
      <c r="X58">
        <v>0</v>
      </c>
      <c r="Y58">
        <v>0</v>
      </c>
      <c r="Z58">
        <v>1</v>
      </c>
      <c r="AA58">
        <v>0.72</v>
      </c>
      <c r="AB58">
        <v>0.76800000000000002</v>
      </c>
      <c r="AC58">
        <v>0.94499999999999995</v>
      </c>
      <c r="AD58">
        <v>3</v>
      </c>
      <c r="AE58">
        <v>2</v>
      </c>
      <c r="AF58">
        <v>2.508</v>
      </c>
      <c r="AG58">
        <v>405.7</v>
      </c>
      <c r="AH58" t="s">
        <v>1877</v>
      </c>
      <c r="AI58" t="s">
        <v>2154</v>
      </c>
      <c r="AJ58" t="s">
        <v>2155</v>
      </c>
      <c r="AK58">
        <v>0</v>
      </c>
      <c r="AL58">
        <v>0</v>
      </c>
      <c r="AM58">
        <v>98090</v>
      </c>
      <c r="AN58">
        <v>1910855</v>
      </c>
      <c r="AO58">
        <v>1512656</v>
      </c>
      <c r="AP58">
        <v>771705</v>
      </c>
      <c r="AQ58">
        <v>528965</v>
      </c>
      <c r="AR58">
        <v>834241</v>
      </c>
      <c r="AS58">
        <v>0</v>
      </c>
      <c r="AT58">
        <v>0</v>
      </c>
      <c r="AU58">
        <v>98090.0625</v>
      </c>
      <c r="AV58">
        <v>1910855.0625</v>
      </c>
      <c r="AW58">
        <v>1512655.9375</v>
      </c>
      <c r="AX58">
        <v>771705.125</v>
      </c>
      <c r="AY58">
        <v>528965.4375</v>
      </c>
      <c r="AZ58">
        <v>834241.3125</v>
      </c>
      <c r="BA58">
        <v>0</v>
      </c>
      <c r="BB58">
        <v>0</v>
      </c>
      <c r="BC58">
        <v>0</v>
      </c>
      <c r="BD58">
        <v>0</v>
      </c>
      <c r="BE58">
        <v>0</v>
      </c>
      <c r="BF58">
        <v>0</v>
      </c>
      <c r="BG58">
        <v>0</v>
      </c>
      <c r="BH58">
        <v>0</v>
      </c>
    </row>
    <row r="59" spans="1:60" x14ac:dyDescent="0.55000000000000004">
      <c r="A59">
        <v>950</v>
      </c>
      <c r="B59">
        <v>3.5310000000000001</v>
      </c>
      <c r="C59">
        <v>554.34655999999995</v>
      </c>
      <c r="D59" t="s">
        <v>2150</v>
      </c>
      <c r="E59" t="s">
        <v>1</v>
      </c>
      <c r="F59" t="s">
        <v>2</v>
      </c>
      <c r="G59">
        <v>0.63</v>
      </c>
      <c r="H59" t="b">
        <v>1</v>
      </c>
      <c r="I59">
        <v>6.4640000000000004</v>
      </c>
      <c r="J59">
        <v>554.34631000000002</v>
      </c>
      <c r="K59" t="s">
        <v>2151</v>
      </c>
      <c r="L59" t="s">
        <v>13</v>
      </c>
      <c r="M59" t="s">
        <v>13</v>
      </c>
      <c r="N59" t="s">
        <v>2152</v>
      </c>
      <c r="O59" t="s">
        <v>2167</v>
      </c>
      <c r="P59">
        <v>410</v>
      </c>
      <c r="Q59" t="b">
        <v>0</v>
      </c>
      <c r="R59" t="b">
        <v>1</v>
      </c>
      <c r="S59" t="b">
        <v>1</v>
      </c>
      <c r="T59" t="s">
        <v>7</v>
      </c>
      <c r="U59" t="b">
        <v>0</v>
      </c>
      <c r="V59" t="b">
        <v>0</v>
      </c>
      <c r="W59">
        <v>950</v>
      </c>
      <c r="X59">
        <v>0</v>
      </c>
      <c r="Y59">
        <v>0</v>
      </c>
      <c r="Z59">
        <v>1</v>
      </c>
      <c r="AA59">
        <v>0.89300000000000002</v>
      </c>
      <c r="AB59">
        <v>0.90300000000000002</v>
      </c>
      <c r="AC59">
        <v>0.96799999999999997</v>
      </c>
      <c r="AD59">
        <v>4</v>
      </c>
      <c r="AE59">
        <v>2</v>
      </c>
      <c r="AF59">
        <v>2.585</v>
      </c>
      <c r="AG59">
        <v>1344.28</v>
      </c>
      <c r="AH59" t="s">
        <v>2008</v>
      </c>
      <c r="AI59" t="s">
        <v>2156</v>
      </c>
      <c r="AJ59" t="s">
        <v>2157</v>
      </c>
      <c r="AK59">
        <v>0</v>
      </c>
      <c r="AL59">
        <v>0</v>
      </c>
      <c r="AM59">
        <v>149325</v>
      </c>
      <c r="AN59">
        <v>1910855</v>
      </c>
      <c r="AO59">
        <v>2036598</v>
      </c>
      <c r="AP59">
        <v>883011</v>
      </c>
      <c r="AQ59">
        <v>844098</v>
      </c>
      <c r="AR59">
        <v>1040285</v>
      </c>
      <c r="AS59">
        <v>0</v>
      </c>
      <c r="AT59">
        <v>0</v>
      </c>
      <c r="AU59">
        <v>149324.625</v>
      </c>
      <c r="AV59">
        <v>1910855.0625</v>
      </c>
      <c r="AW59">
        <v>2036598.1875</v>
      </c>
      <c r="AX59">
        <v>883011.3125</v>
      </c>
      <c r="AY59">
        <v>844097.6875</v>
      </c>
      <c r="AZ59">
        <v>1040285.375</v>
      </c>
      <c r="BA59">
        <v>0</v>
      </c>
      <c r="BB59">
        <v>0</v>
      </c>
      <c r="BC59">
        <v>0</v>
      </c>
      <c r="BD59">
        <v>0</v>
      </c>
      <c r="BE59">
        <v>0</v>
      </c>
      <c r="BF59">
        <v>0</v>
      </c>
      <c r="BG59">
        <v>0</v>
      </c>
      <c r="BH59">
        <v>0</v>
      </c>
    </row>
    <row r="60" spans="1:60" x14ac:dyDescent="0.55000000000000004">
      <c r="A60">
        <v>952</v>
      </c>
      <c r="B60">
        <v>5.0880000000000001</v>
      </c>
      <c r="C60">
        <v>554.38306</v>
      </c>
      <c r="D60" t="s">
        <v>2158</v>
      </c>
      <c r="E60" t="s">
        <v>1</v>
      </c>
      <c r="F60" t="s">
        <v>2</v>
      </c>
      <c r="G60">
        <v>0.38</v>
      </c>
      <c r="H60" t="b">
        <v>1</v>
      </c>
      <c r="I60">
        <v>7.2969999999999997</v>
      </c>
      <c r="J60">
        <v>554.38269000000003</v>
      </c>
      <c r="K60" t="s">
        <v>2159</v>
      </c>
      <c r="L60" t="s">
        <v>2093</v>
      </c>
      <c r="M60" t="s">
        <v>13</v>
      </c>
      <c r="N60" t="s">
        <v>2160</v>
      </c>
      <c r="O60" t="s">
        <v>2173</v>
      </c>
      <c r="P60">
        <v>410</v>
      </c>
      <c r="Q60" t="b">
        <v>0</v>
      </c>
      <c r="R60" t="b">
        <v>1</v>
      </c>
      <c r="S60" t="b">
        <v>1</v>
      </c>
      <c r="T60" t="s">
        <v>7</v>
      </c>
      <c r="U60" t="b">
        <v>0</v>
      </c>
      <c r="V60" t="b">
        <v>0</v>
      </c>
      <c r="W60">
        <v>952</v>
      </c>
      <c r="X60">
        <v>0</v>
      </c>
      <c r="Y60">
        <v>0</v>
      </c>
      <c r="Z60">
        <v>0.99</v>
      </c>
      <c r="AA60">
        <v>0.72799999999999998</v>
      </c>
      <c r="AB60">
        <v>0.80300000000000005</v>
      </c>
      <c r="AC60">
        <v>0.98399999999999999</v>
      </c>
      <c r="AD60">
        <v>4</v>
      </c>
      <c r="AE60">
        <v>2</v>
      </c>
      <c r="AF60">
        <v>2.532</v>
      </c>
      <c r="AG60">
        <v>263.54000000000002</v>
      </c>
      <c r="AH60" t="s">
        <v>1877</v>
      </c>
      <c r="AI60" t="s">
        <v>2162</v>
      </c>
      <c r="AJ60" t="s">
        <v>2163</v>
      </c>
      <c r="AK60">
        <v>0</v>
      </c>
      <c r="AL60">
        <v>0</v>
      </c>
      <c r="AM60">
        <v>15866</v>
      </c>
      <c r="AN60">
        <v>307127</v>
      </c>
      <c r="AO60">
        <v>338484</v>
      </c>
      <c r="AP60">
        <v>146582</v>
      </c>
      <c r="AQ60">
        <v>43135</v>
      </c>
      <c r="AR60">
        <v>184817</v>
      </c>
      <c r="AS60">
        <v>0</v>
      </c>
      <c r="AT60">
        <v>0</v>
      </c>
      <c r="AU60">
        <v>15866.5</v>
      </c>
      <c r="AV60">
        <v>307126.75</v>
      </c>
      <c r="AW60">
        <v>338483.5625</v>
      </c>
      <c r="AX60">
        <v>146582.25</v>
      </c>
      <c r="AY60">
        <v>43134.8125</v>
      </c>
      <c r="AZ60">
        <v>184817.1875</v>
      </c>
      <c r="BA60">
        <v>0</v>
      </c>
      <c r="BB60">
        <v>0</v>
      </c>
      <c r="BC60">
        <v>0</v>
      </c>
      <c r="BD60">
        <v>0</v>
      </c>
      <c r="BE60">
        <v>0</v>
      </c>
      <c r="BF60">
        <v>0</v>
      </c>
      <c r="BG60">
        <v>0</v>
      </c>
      <c r="BH60">
        <v>0</v>
      </c>
    </row>
    <row r="61" spans="1:60" x14ac:dyDescent="0.55000000000000004">
      <c r="A61">
        <v>1002</v>
      </c>
      <c r="B61">
        <v>1.8440000000000001</v>
      </c>
      <c r="C61">
        <v>562.31548999999995</v>
      </c>
      <c r="D61" t="s">
        <v>2164</v>
      </c>
      <c r="E61" t="s">
        <v>1</v>
      </c>
      <c r="F61" t="s">
        <v>2</v>
      </c>
      <c r="G61">
        <v>0.75</v>
      </c>
      <c r="H61" t="b">
        <v>1</v>
      </c>
      <c r="I61">
        <v>5.524</v>
      </c>
      <c r="J61">
        <v>562.31500000000005</v>
      </c>
      <c r="K61" t="s">
        <v>2165</v>
      </c>
      <c r="L61" t="s">
        <v>13</v>
      </c>
      <c r="M61" t="s">
        <v>13</v>
      </c>
      <c r="N61" t="s">
        <v>2166</v>
      </c>
      <c r="O61" t="s">
        <v>2173</v>
      </c>
      <c r="P61">
        <v>410</v>
      </c>
      <c r="Q61" t="b">
        <v>0</v>
      </c>
      <c r="R61" t="b">
        <v>1</v>
      </c>
      <c r="S61" t="b">
        <v>1</v>
      </c>
      <c r="T61" t="s">
        <v>7</v>
      </c>
      <c r="U61" t="b">
        <v>0</v>
      </c>
      <c r="V61" t="b">
        <v>0</v>
      </c>
      <c r="W61">
        <v>1002</v>
      </c>
      <c r="X61">
        <v>0</v>
      </c>
      <c r="Y61">
        <v>0</v>
      </c>
      <c r="Z61">
        <v>0.99</v>
      </c>
      <c r="AA61">
        <v>0.86899999999999999</v>
      </c>
      <c r="AB61">
        <v>0.91400000000000003</v>
      </c>
      <c r="AC61">
        <v>0.96399999999999997</v>
      </c>
      <c r="AD61">
        <v>3</v>
      </c>
      <c r="AE61">
        <v>2</v>
      </c>
      <c r="AF61">
        <v>2.577</v>
      </c>
      <c r="AG61">
        <v>109877.1</v>
      </c>
      <c r="AH61" t="s">
        <v>1877</v>
      </c>
      <c r="AI61" t="s">
        <v>2168</v>
      </c>
      <c r="AJ61" t="s">
        <v>2169</v>
      </c>
      <c r="AK61">
        <v>0</v>
      </c>
      <c r="AL61">
        <v>0</v>
      </c>
      <c r="AM61">
        <v>56700</v>
      </c>
      <c r="AN61">
        <v>471423</v>
      </c>
      <c r="AO61">
        <v>460300</v>
      </c>
      <c r="AP61">
        <v>198516</v>
      </c>
      <c r="AQ61">
        <v>225024</v>
      </c>
      <c r="AR61">
        <v>234046</v>
      </c>
      <c r="AS61">
        <v>0</v>
      </c>
      <c r="AT61">
        <v>0</v>
      </c>
      <c r="AU61">
        <v>56699.8125</v>
      </c>
      <c r="AV61">
        <v>471423.375</v>
      </c>
      <c r="AW61">
        <v>460299.875</v>
      </c>
      <c r="AX61">
        <v>198515.6875</v>
      </c>
      <c r="AY61">
        <v>225024.3125</v>
      </c>
      <c r="AZ61">
        <v>234046.125</v>
      </c>
      <c r="BA61">
        <v>0</v>
      </c>
      <c r="BB61">
        <v>0</v>
      </c>
      <c r="BC61">
        <v>0</v>
      </c>
      <c r="BD61">
        <v>0</v>
      </c>
      <c r="BE61">
        <v>0</v>
      </c>
      <c r="BF61">
        <v>0</v>
      </c>
      <c r="BG61">
        <v>0</v>
      </c>
      <c r="BH61">
        <v>0</v>
      </c>
    </row>
    <row r="62" spans="1:60" x14ac:dyDescent="0.55000000000000004">
      <c r="A62">
        <v>1015</v>
      </c>
      <c r="B62">
        <v>2.4060000000000001</v>
      </c>
      <c r="C62">
        <v>564.33051</v>
      </c>
      <c r="D62" t="s">
        <v>2170</v>
      </c>
      <c r="E62" t="s">
        <v>1</v>
      </c>
      <c r="F62" t="s">
        <v>2</v>
      </c>
      <c r="G62">
        <v>0.13</v>
      </c>
      <c r="H62" t="b">
        <v>1</v>
      </c>
      <c r="I62">
        <v>5.7789999999999999</v>
      </c>
      <c r="J62">
        <v>564.33069</v>
      </c>
      <c r="K62" t="s">
        <v>2171</v>
      </c>
      <c r="L62" t="s">
        <v>13</v>
      </c>
      <c r="M62" t="s">
        <v>13</v>
      </c>
      <c r="N62" t="s">
        <v>2172</v>
      </c>
      <c r="O62" t="s">
        <v>2181</v>
      </c>
      <c r="P62">
        <v>410</v>
      </c>
      <c r="Q62" t="b">
        <v>0</v>
      </c>
      <c r="R62" t="b">
        <v>1</v>
      </c>
      <c r="S62" t="b">
        <v>1</v>
      </c>
      <c r="T62" t="s">
        <v>7</v>
      </c>
      <c r="U62" t="b">
        <v>0</v>
      </c>
      <c r="V62" t="b">
        <v>0</v>
      </c>
      <c r="W62">
        <v>1015</v>
      </c>
      <c r="X62">
        <v>0</v>
      </c>
      <c r="Y62">
        <v>0</v>
      </c>
      <c r="Z62">
        <v>1</v>
      </c>
      <c r="AA62">
        <v>0.69199999999999995</v>
      </c>
      <c r="AB62">
        <v>0.74199999999999999</v>
      </c>
      <c r="AC62">
        <v>0.96199999999999997</v>
      </c>
      <c r="AD62">
        <v>3</v>
      </c>
      <c r="AE62">
        <v>2</v>
      </c>
      <c r="AF62">
        <v>2.5049999999999999</v>
      </c>
      <c r="AG62">
        <v>13644.55</v>
      </c>
      <c r="AH62" t="s">
        <v>1889</v>
      </c>
      <c r="AI62" t="s">
        <v>2174</v>
      </c>
      <c r="AJ62" t="s">
        <v>2175</v>
      </c>
      <c r="AK62">
        <v>0</v>
      </c>
      <c r="AL62">
        <v>0</v>
      </c>
      <c r="AM62">
        <v>2481338</v>
      </c>
      <c r="AN62">
        <v>1071338</v>
      </c>
      <c r="AO62">
        <v>2354037</v>
      </c>
      <c r="AP62">
        <v>11878224</v>
      </c>
      <c r="AQ62">
        <v>13293359</v>
      </c>
      <c r="AR62">
        <v>13485594</v>
      </c>
      <c r="AS62">
        <v>0</v>
      </c>
      <c r="AT62">
        <v>0</v>
      </c>
      <c r="AU62">
        <v>2481337.5</v>
      </c>
      <c r="AV62">
        <v>1071337.9375</v>
      </c>
      <c r="AW62">
        <v>2354037.0625</v>
      </c>
      <c r="AX62">
        <v>11878224.375</v>
      </c>
      <c r="AY62">
        <v>13293359.3125</v>
      </c>
      <c r="AZ62">
        <v>13485593.875</v>
      </c>
      <c r="BA62">
        <v>0</v>
      </c>
      <c r="BB62">
        <v>0</v>
      </c>
      <c r="BC62">
        <v>0</v>
      </c>
      <c r="BD62">
        <v>0</v>
      </c>
      <c r="BE62">
        <v>0</v>
      </c>
      <c r="BF62">
        <v>0</v>
      </c>
      <c r="BG62">
        <v>0</v>
      </c>
      <c r="BH62">
        <v>0</v>
      </c>
    </row>
    <row r="63" spans="1:60" x14ac:dyDescent="0.55000000000000004">
      <c r="A63">
        <v>1016</v>
      </c>
      <c r="B63">
        <v>2.3050000000000002</v>
      </c>
      <c r="C63">
        <v>564.33081000000004</v>
      </c>
      <c r="D63" t="s">
        <v>2170</v>
      </c>
      <c r="E63" t="s">
        <v>1</v>
      </c>
      <c r="F63" t="s">
        <v>2</v>
      </c>
      <c r="G63">
        <v>0.63</v>
      </c>
      <c r="H63" t="b">
        <v>1</v>
      </c>
      <c r="I63">
        <v>5.7789999999999999</v>
      </c>
      <c r="J63">
        <v>564.33069</v>
      </c>
      <c r="K63" t="s">
        <v>2171</v>
      </c>
      <c r="L63" t="s">
        <v>13</v>
      </c>
      <c r="M63" t="s">
        <v>13</v>
      </c>
      <c r="N63" t="s">
        <v>2172</v>
      </c>
      <c r="O63" t="s">
        <v>2181</v>
      </c>
      <c r="P63">
        <v>410</v>
      </c>
      <c r="Q63" t="b">
        <v>0</v>
      </c>
      <c r="R63" t="b">
        <v>1</v>
      </c>
      <c r="S63" t="b">
        <v>1</v>
      </c>
      <c r="T63" t="s">
        <v>7</v>
      </c>
      <c r="U63" t="b">
        <v>0</v>
      </c>
      <c r="V63" t="b">
        <v>0</v>
      </c>
      <c r="W63">
        <v>1016</v>
      </c>
      <c r="X63">
        <v>0</v>
      </c>
      <c r="Y63">
        <v>0</v>
      </c>
      <c r="Z63">
        <v>1</v>
      </c>
      <c r="AA63">
        <v>0.498</v>
      </c>
      <c r="AB63">
        <v>0.57999999999999996</v>
      </c>
      <c r="AC63">
        <v>0.96299999999999997</v>
      </c>
      <c r="AD63">
        <v>3</v>
      </c>
      <c r="AE63">
        <v>2</v>
      </c>
      <c r="AF63">
        <v>2.4300000000000002</v>
      </c>
      <c r="AG63">
        <v>17277.04</v>
      </c>
      <c r="AH63" t="s">
        <v>1877</v>
      </c>
      <c r="AI63" t="s">
        <v>2176</v>
      </c>
      <c r="AJ63" t="s">
        <v>2177</v>
      </c>
      <c r="AK63">
        <v>0</v>
      </c>
      <c r="AL63">
        <v>0</v>
      </c>
      <c r="AM63">
        <v>2481338</v>
      </c>
      <c r="AN63">
        <v>23063076</v>
      </c>
      <c r="AO63">
        <v>24618560</v>
      </c>
      <c r="AP63">
        <v>11878224</v>
      </c>
      <c r="AQ63">
        <v>9023538</v>
      </c>
      <c r="AR63">
        <v>13485594</v>
      </c>
      <c r="AS63">
        <v>0</v>
      </c>
      <c r="AT63">
        <v>0</v>
      </c>
      <c r="AU63">
        <v>2481337.5</v>
      </c>
      <c r="AV63">
        <v>23063076</v>
      </c>
      <c r="AW63">
        <v>24618559.5</v>
      </c>
      <c r="AX63">
        <v>11878224.375</v>
      </c>
      <c r="AY63">
        <v>9023538.25</v>
      </c>
      <c r="AZ63">
        <v>13485593.875</v>
      </c>
      <c r="BA63">
        <v>0</v>
      </c>
      <c r="BB63">
        <v>0</v>
      </c>
      <c r="BC63">
        <v>0</v>
      </c>
      <c r="BD63">
        <v>0</v>
      </c>
      <c r="BE63">
        <v>0</v>
      </c>
      <c r="BF63">
        <v>0</v>
      </c>
      <c r="BG63">
        <v>0</v>
      </c>
      <c r="BH63">
        <v>0</v>
      </c>
    </row>
    <row r="64" spans="1:60" x14ac:dyDescent="0.55000000000000004">
      <c r="A64">
        <v>1026</v>
      </c>
      <c r="B64">
        <v>3.1640000000000001</v>
      </c>
      <c r="C64">
        <v>566.34613000000002</v>
      </c>
      <c r="D64" t="s">
        <v>2178</v>
      </c>
      <c r="E64" t="s">
        <v>1</v>
      </c>
      <c r="F64" t="s">
        <v>2</v>
      </c>
      <c r="G64">
        <v>0.25</v>
      </c>
      <c r="H64" t="b">
        <v>1</v>
      </c>
      <c r="I64">
        <v>6.2990000000000004</v>
      </c>
      <c r="J64">
        <v>566.34631000000002</v>
      </c>
      <c r="K64" t="s">
        <v>2179</v>
      </c>
      <c r="L64" t="s">
        <v>13</v>
      </c>
      <c r="M64" t="s">
        <v>13</v>
      </c>
      <c r="N64" t="s">
        <v>2180</v>
      </c>
      <c r="O64" t="s">
        <v>2189</v>
      </c>
      <c r="P64">
        <v>410</v>
      </c>
      <c r="Q64" t="b">
        <v>0</v>
      </c>
      <c r="R64" t="b">
        <v>1</v>
      </c>
      <c r="S64" t="b">
        <v>1</v>
      </c>
      <c r="T64" t="s">
        <v>7</v>
      </c>
      <c r="U64" t="b">
        <v>0</v>
      </c>
      <c r="V64" t="b">
        <v>0</v>
      </c>
      <c r="W64">
        <v>1026</v>
      </c>
      <c r="X64">
        <v>0</v>
      </c>
      <c r="Y64">
        <v>0</v>
      </c>
      <c r="Z64">
        <v>0.98</v>
      </c>
      <c r="AA64">
        <v>0.79</v>
      </c>
      <c r="AB64">
        <v>0.83399999999999996</v>
      </c>
      <c r="AC64">
        <v>0.96299999999999997</v>
      </c>
      <c r="AD64">
        <v>3</v>
      </c>
      <c r="AE64">
        <v>2</v>
      </c>
      <c r="AF64">
        <v>2.5379999999999998</v>
      </c>
      <c r="AG64">
        <v>31012.85</v>
      </c>
      <c r="AH64" t="s">
        <v>89</v>
      </c>
      <c r="AI64" t="s">
        <v>2182</v>
      </c>
      <c r="AJ64" t="s">
        <v>2183</v>
      </c>
      <c r="AK64">
        <v>0</v>
      </c>
      <c r="AL64">
        <v>0</v>
      </c>
      <c r="AM64">
        <v>2417607</v>
      </c>
      <c r="AN64">
        <v>3161488</v>
      </c>
      <c r="AO64">
        <v>5856351</v>
      </c>
      <c r="AP64">
        <v>3149408</v>
      </c>
      <c r="AQ64">
        <v>12486027</v>
      </c>
      <c r="AR64">
        <v>12718170</v>
      </c>
      <c r="AS64">
        <v>0</v>
      </c>
      <c r="AT64">
        <v>0</v>
      </c>
      <c r="AU64">
        <v>2417606.6875</v>
      </c>
      <c r="AV64">
        <v>3161487.625</v>
      </c>
      <c r="AW64">
        <v>5856350.9375</v>
      </c>
      <c r="AX64">
        <v>3149407.6875</v>
      </c>
      <c r="AY64">
        <v>12486026.625</v>
      </c>
      <c r="AZ64">
        <v>12718170.3125</v>
      </c>
      <c r="BA64">
        <v>0</v>
      </c>
      <c r="BB64">
        <v>0</v>
      </c>
      <c r="BC64">
        <v>0</v>
      </c>
      <c r="BD64">
        <v>0</v>
      </c>
      <c r="BE64">
        <v>0</v>
      </c>
      <c r="BF64">
        <v>0</v>
      </c>
      <c r="BG64">
        <v>0</v>
      </c>
      <c r="BH64">
        <v>0</v>
      </c>
    </row>
    <row r="65" spans="1:60" x14ac:dyDescent="0.55000000000000004">
      <c r="A65">
        <v>1027</v>
      </c>
      <c r="B65">
        <v>3.0390000000000001</v>
      </c>
      <c r="C65">
        <v>566.34625000000005</v>
      </c>
      <c r="D65" t="s">
        <v>2178</v>
      </c>
      <c r="E65" t="s">
        <v>1</v>
      </c>
      <c r="F65" t="s">
        <v>2</v>
      </c>
      <c r="G65">
        <v>0.5</v>
      </c>
      <c r="H65" t="b">
        <v>1</v>
      </c>
      <c r="I65">
        <v>6.2990000000000004</v>
      </c>
      <c r="J65">
        <v>566.34631000000002</v>
      </c>
      <c r="K65" t="s">
        <v>2179</v>
      </c>
      <c r="L65" t="s">
        <v>13</v>
      </c>
      <c r="M65" t="s">
        <v>13</v>
      </c>
      <c r="N65" t="s">
        <v>2180</v>
      </c>
      <c r="O65" t="s">
        <v>2189</v>
      </c>
      <c r="P65">
        <v>410</v>
      </c>
      <c r="Q65" t="b">
        <v>0</v>
      </c>
      <c r="R65" t="b">
        <v>1</v>
      </c>
      <c r="S65" t="b">
        <v>1</v>
      </c>
      <c r="T65" t="s">
        <v>7</v>
      </c>
      <c r="U65" t="b">
        <v>0</v>
      </c>
      <c r="V65" t="b">
        <v>0</v>
      </c>
      <c r="W65">
        <v>1027</v>
      </c>
      <c r="X65">
        <v>0</v>
      </c>
      <c r="Y65">
        <v>0</v>
      </c>
      <c r="Z65">
        <v>1</v>
      </c>
      <c r="AA65">
        <v>0.80100000000000005</v>
      </c>
      <c r="AB65">
        <v>0.86099999999999999</v>
      </c>
      <c r="AC65">
        <v>0.96399999999999997</v>
      </c>
      <c r="AD65">
        <v>3</v>
      </c>
      <c r="AE65">
        <v>2</v>
      </c>
      <c r="AF65">
        <v>2.5550000000000002</v>
      </c>
      <c r="AG65">
        <v>37225.300000000003</v>
      </c>
      <c r="AH65" t="s">
        <v>1877</v>
      </c>
      <c r="AI65" t="s">
        <v>2184</v>
      </c>
      <c r="AJ65" t="s">
        <v>2185</v>
      </c>
      <c r="AK65">
        <v>0</v>
      </c>
      <c r="AL65">
        <v>0</v>
      </c>
      <c r="AM65">
        <v>2417607</v>
      </c>
      <c r="AN65">
        <v>21616350</v>
      </c>
      <c r="AO65">
        <v>22972765</v>
      </c>
      <c r="AP65">
        <v>10783843</v>
      </c>
      <c r="AQ65">
        <v>5737339</v>
      </c>
      <c r="AR65">
        <v>12718170</v>
      </c>
      <c r="AS65">
        <v>0</v>
      </c>
      <c r="AT65">
        <v>0</v>
      </c>
      <c r="AU65">
        <v>2417606.6875</v>
      </c>
      <c r="AV65">
        <v>21616349.625</v>
      </c>
      <c r="AW65">
        <v>22972764.75</v>
      </c>
      <c r="AX65">
        <v>10783843.375</v>
      </c>
      <c r="AY65">
        <v>5737338.5625</v>
      </c>
      <c r="AZ65">
        <v>12718170.3125</v>
      </c>
      <c r="BA65">
        <v>0</v>
      </c>
      <c r="BB65">
        <v>0</v>
      </c>
      <c r="BC65">
        <v>0</v>
      </c>
      <c r="BD65">
        <v>0</v>
      </c>
      <c r="BE65">
        <v>0</v>
      </c>
      <c r="BF65">
        <v>0</v>
      </c>
      <c r="BG65">
        <v>0</v>
      </c>
      <c r="BH65">
        <v>0</v>
      </c>
    </row>
    <row r="66" spans="1:60" x14ac:dyDescent="0.55000000000000004">
      <c r="A66">
        <v>1032</v>
      </c>
      <c r="B66">
        <v>4.3860000000000001</v>
      </c>
      <c r="C66">
        <v>568.36194</v>
      </c>
      <c r="D66" t="s">
        <v>2186</v>
      </c>
      <c r="E66" t="s">
        <v>1</v>
      </c>
      <c r="F66" t="s">
        <v>2</v>
      </c>
      <c r="G66">
        <v>0.38</v>
      </c>
      <c r="H66" t="b">
        <v>1</v>
      </c>
      <c r="I66">
        <v>6.7480000000000002</v>
      </c>
      <c r="J66">
        <v>568.36199999999997</v>
      </c>
      <c r="K66" t="s">
        <v>2187</v>
      </c>
      <c r="L66" t="s">
        <v>13</v>
      </c>
      <c r="M66" t="s">
        <v>13</v>
      </c>
      <c r="N66" t="s">
        <v>2188</v>
      </c>
      <c r="O66" t="s">
        <v>2197</v>
      </c>
      <c r="P66">
        <v>410</v>
      </c>
      <c r="Q66" t="b">
        <v>0</v>
      </c>
      <c r="R66" t="b">
        <v>1</v>
      </c>
      <c r="S66" t="b">
        <v>1</v>
      </c>
      <c r="T66" t="s">
        <v>7</v>
      </c>
      <c r="U66" t="b">
        <v>0</v>
      </c>
      <c r="V66" t="b">
        <v>0</v>
      </c>
      <c r="W66">
        <v>1032</v>
      </c>
      <c r="X66">
        <v>0</v>
      </c>
      <c r="Y66">
        <v>0</v>
      </c>
      <c r="Z66">
        <v>1</v>
      </c>
      <c r="AA66">
        <v>0.94</v>
      </c>
      <c r="AB66">
        <v>0.94599999999999995</v>
      </c>
      <c r="AC66">
        <v>0.96399999999999997</v>
      </c>
      <c r="AD66">
        <v>3</v>
      </c>
      <c r="AE66">
        <v>2</v>
      </c>
      <c r="AF66">
        <v>2.601</v>
      </c>
      <c r="AG66">
        <v>121959.4</v>
      </c>
      <c r="AH66" t="s">
        <v>89</v>
      </c>
      <c r="AI66" t="s">
        <v>2190</v>
      </c>
      <c r="AJ66" t="s">
        <v>2191</v>
      </c>
      <c r="AK66">
        <v>0</v>
      </c>
      <c r="AL66">
        <v>0</v>
      </c>
      <c r="AM66">
        <v>7918412</v>
      </c>
      <c r="AN66">
        <v>2834515</v>
      </c>
      <c r="AO66">
        <v>10292305</v>
      </c>
      <c r="AP66">
        <v>30438183</v>
      </c>
      <c r="AQ66">
        <v>35693709</v>
      </c>
      <c r="AR66">
        <v>36526513</v>
      </c>
      <c r="AS66">
        <v>0</v>
      </c>
      <c r="AT66">
        <v>0</v>
      </c>
      <c r="AU66">
        <v>7918411.5</v>
      </c>
      <c r="AV66">
        <v>2834515</v>
      </c>
      <c r="AW66">
        <v>10292305.1875</v>
      </c>
      <c r="AX66">
        <v>30438182.875</v>
      </c>
      <c r="AY66">
        <v>35693708.875</v>
      </c>
      <c r="AZ66">
        <v>36526512.625</v>
      </c>
      <c r="BA66">
        <v>0</v>
      </c>
      <c r="BB66">
        <v>0</v>
      </c>
      <c r="BC66">
        <v>0</v>
      </c>
      <c r="BD66">
        <v>0</v>
      </c>
      <c r="BE66">
        <v>0</v>
      </c>
      <c r="BF66">
        <v>0</v>
      </c>
      <c r="BG66">
        <v>0</v>
      </c>
      <c r="BH66">
        <v>0</v>
      </c>
    </row>
    <row r="67" spans="1:60" x14ac:dyDescent="0.55000000000000004">
      <c r="A67">
        <v>1034</v>
      </c>
      <c r="B67">
        <v>4.2619999999999996</v>
      </c>
      <c r="C67">
        <v>568.36217999999997</v>
      </c>
      <c r="D67" t="s">
        <v>2186</v>
      </c>
      <c r="E67" t="s">
        <v>1</v>
      </c>
      <c r="F67" t="s">
        <v>2</v>
      </c>
      <c r="G67">
        <v>0.38</v>
      </c>
      <c r="H67" t="b">
        <v>1</v>
      </c>
      <c r="I67">
        <v>6.7480000000000002</v>
      </c>
      <c r="J67">
        <v>568.36199999999997</v>
      </c>
      <c r="K67" t="s">
        <v>2187</v>
      </c>
      <c r="L67" t="s">
        <v>13</v>
      </c>
      <c r="M67" t="s">
        <v>13</v>
      </c>
      <c r="N67" t="s">
        <v>2188</v>
      </c>
      <c r="O67" t="s">
        <v>2203</v>
      </c>
      <c r="P67">
        <v>410</v>
      </c>
      <c r="Q67" t="b">
        <v>0</v>
      </c>
      <c r="R67" t="b">
        <v>1</v>
      </c>
      <c r="S67" t="b">
        <v>1</v>
      </c>
      <c r="T67" t="s">
        <v>7</v>
      </c>
      <c r="U67" t="b">
        <v>0</v>
      </c>
      <c r="V67" t="b">
        <v>0</v>
      </c>
      <c r="W67">
        <v>1034</v>
      </c>
      <c r="X67">
        <v>0</v>
      </c>
      <c r="Y67">
        <v>0</v>
      </c>
      <c r="Z67">
        <v>1</v>
      </c>
      <c r="AA67">
        <v>0.88200000000000001</v>
      </c>
      <c r="AB67">
        <v>0.92900000000000005</v>
      </c>
      <c r="AC67">
        <v>0.96399999999999997</v>
      </c>
      <c r="AD67">
        <v>3</v>
      </c>
      <c r="AE67">
        <v>2</v>
      </c>
      <c r="AF67">
        <v>2.5870000000000002</v>
      </c>
      <c r="AG67">
        <v>187336</v>
      </c>
      <c r="AH67" t="s">
        <v>1877</v>
      </c>
      <c r="AI67" t="s">
        <v>2192</v>
      </c>
      <c r="AJ67" t="s">
        <v>2193</v>
      </c>
      <c r="AK67">
        <v>0</v>
      </c>
      <c r="AL67">
        <v>0</v>
      </c>
      <c r="AM67">
        <v>3881781</v>
      </c>
      <c r="AN67">
        <v>59170456</v>
      </c>
      <c r="AO67">
        <v>63100053</v>
      </c>
      <c r="AP67">
        <v>30438183</v>
      </c>
      <c r="AQ67">
        <v>11310849</v>
      </c>
      <c r="AR67">
        <v>36526513</v>
      </c>
      <c r="AS67">
        <v>0</v>
      </c>
      <c r="AT67">
        <v>0</v>
      </c>
      <c r="AU67">
        <v>3881781.125</v>
      </c>
      <c r="AV67">
        <v>59170456.25</v>
      </c>
      <c r="AW67">
        <v>63100052.75</v>
      </c>
      <c r="AX67">
        <v>30438182.875</v>
      </c>
      <c r="AY67">
        <v>11310849</v>
      </c>
      <c r="AZ67">
        <v>36526512.625</v>
      </c>
      <c r="BA67">
        <v>0</v>
      </c>
      <c r="BB67">
        <v>0</v>
      </c>
      <c r="BC67">
        <v>0</v>
      </c>
      <c r="BD67">
        <v>0</v>
      </c>
      <c r="BE67">
        <v>0</v>
      </c>
      <c r="BF67">
        <v>0</v>
      </c>
      <c r="BG67">
        <v>0</v>
      </c>
      <c r="BH67">
        <v>0</v>
      </c>
    </row>
    <row r="68" spans="1:60" x14ac:dyDescent="0.55000000000000004">
      <c r="A68">
        <v>1042</v>
      </c>
      <c r="B68">
        <v>2.1760000000000002</v>
      </c>
      <c r="C68">
        <v>571.28832999999997</v>
      </c>
      <c r="D68" t="s">
        <v>2194</v>
      </c>
      <c r="E68" t="s">
        <v>32</v>
      </c>
      <c r="F68" t="s">
        <v>2</v>
      </c>
      <c r="G68">
        <v>0.5</v>
      </c>
      <c r="H68" t="b">
        <v>1</v>
      </c>
      <c r="I68">
        <v>5.508</v>
      </c>
      <c r="J68">
        <v>571.28887999999995</v>
      </c>
      <c r="K68" t="s">
        <v>2195</v>
      </c>
      <c r="L68" t="s">
        <v>34</v>
      </c>
      <c r="N68" t="s">
        <v>2196</v>
      </c>
      <c r="O68" t="s">
        <v>2209</v>
      </c>
      <c r="P68">
        <v>410</v>
      </c>
      <c r="Q68" t="b">
        <v>0</v>
      </c>
      <c r="R68" t="b">
        <v>1</v>
      </c>
      <c r="S68" t="b">
        <v>1</v>
      </c>
      <c r="T68" t="s">
        <v>7</v>
      </c>
      <c r="U68" t="b">
        <v>0</v>
      </c>
      <c r="V68" t="b">
        <v>0</v>
      </c>
      <c r="W68">
        <v>1042</v>
      </c>
      <c r="X68">
        <v>0</v>
      </c>
      <c r="Y68">
        <v>0</v>
      </c>
      <c r="Z68">
        <v>1</v>
      </c>
      <c r="AA68">
        <v>0.54500000000000004</v>
      </c>
      <c r="AB68">
        <v>0.627</v>
      </c>
      <c r="AC68">
        <v>0.98699999999999999</v>
      </c>
      <c r="AD68">
        <v>6</v>
      </c>
      <c r="AE68">
        <v>2</v>
      </c>
      <c r="AF68">
        <v>2.4580000000000002</v>
      </c>
      <c r="AG68">
        <v>78.739999999999995</v>
      </c>
      <c r="AH68" t="s">
        <v>1877</v>
      </c>
      <c r="AI68" t="s">
        <v>2198</v>
      </c>
      <c r="AJ68" t="s">
        <v>2199</v>
      </c>
      <c r="AK68">
        <v>0</v>
      </c>
      <c r="AL68">
        <v>0</v>
      </c>
      <c r="AM68">
        <v>6919</v>
      </c>
      <c r="AN68">
        <v>56252</v>
      </c>
      <c r="AO68">
        <v>59432</v>
      </c>
      <c r="AP68">
        <v>30899</v>
      </c>
      <c r="AQ68">
        <v>10513</v>
      </c>
      <c r="AR68">
        <v>31876</v>
      </c>
      <c r="AS68">
        <v>0</v>
      </c>
      <c r="AT68">
        <v>0</v>
      </c>
      <c r="AU68">
        <v>6918.6875</v>
      </c>
      <c r="AV68">
        <v>56252</v>
      </c>
      <c r="AW68">
        <v>59431.875</v>
      </c>
      <c r="AX68">
        <v>30898.625</v>
      </c>
      <c r="AY68">
        <v>10513.3125</v>
      </c>
      <c r="AZ68">
        <v>31875.6875</v>
      </c>
      <c r="BA68">
        <v>0</v>
      </c>
      <c r="BB68">
        <v>0</v>
      </c>
      <c r="BC68">
        <v>0</v>
      </c>
      <c r="BD68">
        <v>0</v>
      </c>
      <c r="BE68">
        <v>0</v>
      </c>
      <c r="BF68">
        <v>0</v>
      </c>
      <c r="BG68">
        <v>0</v>
      </c>
      <c r="BH68">
        <v>0</v>
      </c>
    </row>
    <row r="69" spans="1:60" x14ac:dyDescent="0.55000000000000004">
      <c r="A69">
        <v>1088</v>
      </c>
      <c r="B69">
        <v>3.7970000000000002</v>
      </c>
      <c r="C69">
        <v>580.36243000000002</v>
      </c>
      <c r="D69" t="s">
        <v>2200</v>
      </c>
      <c r="E69" t="s">
        <v>1</v>
      </c>
      <c r="F69" t="s">
        <v>2</v>
      </c>
      <c r="G69">
        <v>0.13</v>
      </c>
      <c r="H69" t="b">
        <v>1</v>
      </c>
      <c r="I69">
        <v>6.5490000000000004</v>
      </c>
      <c r="J69">
        <v>580.36199999999997</v>
      </c>
      <c r="K69" t="s">
        <v>2201</v>
      </c>
      <c r="L69" t="s">
        <v>13</v>
      </c>
      <c r="M69" t="s">
        <v>13</v>
      </c>
      <c r="N69" t="s">
        <v>2202</v>
      </c>
      <c r="O69" t="s">
        <v>2209</v>
      </c>
      <c r="P69">
        <v>410</v>
      </c>
      <c r="Q69" t="b">
        <v>0</v>
      </c>
      <c r="R69" t="b">
        <v>1</v>
      </c>
      <c r="S69" t="b">
        <v>1</v>
      </c>
      <c r="T69" t="s">
        <v>7</v>
      </c>
      <c r="U69" t="b">
        <v>0</v>
      </c>
      <c r="V69" t="b">
        <v>0</v>
      </c>
      <c r="W69">
        <v>1088</v>
      </c>
      <c r="X69">
        <v>0</v>
      </c>
      <c r="Y69">
        <v>0</v>
      </c>
      <c r="Z69">
        <v>1</v>
      </c>
      <c r="AA69">
        <v>0.7</v>
      </c>
      <c r="AB69">
        <v>0.77900000000000003</v>
      </c>
      <c r="AC69">
        <v>0.96299999999999997</v>
      </c>
      <c r="AD69">
        <v>3</v>
      </c>
      <c r="AE69">
        <v>2</v>
      </c>
      <c r="AF69">
        <v>2.5139999999999998</v>
      </c>
      <c r="AG69">
        <v>19.98</v>
      </c>
      <c r="AH69" t="s">
        <v>1889</v>
      </c>
      <c r="AI69" t="s">
        <v>2204</v>
      </c>
      <c r="AJ69" t="s">
        <v>2205</v>
      </c>
      <c r="AK69">
        <v>0</v>
      </c>
      <c r="AL69">
        <v>0</v>
      </c>
      <c r="AM69">
        <v>7719</v>
      </c>
      <c r="AN69">
        <v>17570</v>
      </c>
      <c r="AO69">
        <v>18992</v>
      </c>
      <c r="AP69">
        <v>10290</v>
      </c>
      <c r="AQ69">
        <v>36518</v>
      </c>
      <c r="AR69">
        <v>38327</v>
      </c>
      <c r="AS69">
        <v>0</v>
      </c>
      <c r="AT69">
        <v>0</v>
      </c>
      <c r="AU69">
        <v>7719.3125</v>
      </c>
      <c r="AV69">
        <v>17570.125</v>
      </c>
      <c r="AW69">
        <v>18992.0625</v>
      </c>
      <c r="AX69">
        <v>10290.25</v>
      </c>
      <c r="AY69">
        <v>36518.3125</v>
      </c>
      <c r="AZ69">
        <v>38327.4375</v>
      </c>
      <c r="BA69">
        <v>0</v>
      </c>
      <c r="BB69">
        <v>0</v>
      </c>
      <c r="BC69">
        <v>0</v>
      </c>
      <c r="BD69">
        <v>0</v>
      </c>
      <c r="BE69">
        <v>0</v>
      </c>
      <c r="BF69">
        <v>0</v>
      </c>
      <c r="BG69">
        <v>0</v>
      </c>
      <c r="BH69">
        <v>0</v>
      </c>
    </row>
    <row r="70" spans="1:60" x14ac:dyDescent="0.55000000000000004">
      <c r="A70">
        <v>1107</v>
      </c>
      <c r="B70">
        <v>5.1779999999999999</v>
      </c>
      <c r="C70">
        <v>582.37787000000003</v>
      </c>
      <c r="D70" t="s">
        <v>2206</v>
      </c>
      <c r="E70" t="s">
        <v>1</v>
      </c>
      <c r="F70" t="s">
        <v>2</v>
      </c>
      <c r="G70">
        <v>0.5</v>
      </c>
      <c r="H70" t="b">
        <v>1</v>
      </c>
      <c r="I70">
        <v>6.9550000000000001</v>
      </c>
      <c r="J70">
        <v>582.37761999999998</v>
      </c>
      <c r="K70" t="s">
        <v>2207</v>
      </c>
      <c r="L70" t="s">
        <v>13</v>
      </c>
      <c r="M70" t="s">
        <v>13</v>
      </c>
      <c r="N70" t="s">
        <v>2208</v>
      </c>
      <c r="O70" t="s">
        <v>2217</v>
      </c>
      <c r="P70">
        <v>410</v>
      </c>
      <c r="Q70" t="b">
        <v>0</v>
      </c>
      <c r="R70" t="b">
        <v>1</v>
      </c>
      <c r="S70" t="b">
        <v>1</v>
      </c>
      <c r="T70" t="s">
        <v>7</v>
      </c>
      <c r="U70" t="b">
        <v>0</v>
      </c>
      <c r="V70" t="b">
        <v>0</v>
      </c>
      <c r="W70">
        <v>1107</v>
      </c>
      <c r="X70">
        <v>0</v>
      </c>
      <c r="Y70">
        <v>0</v>
      </c>
      <c r="Z70">
        <v>0.99</v>
      </c>
      <c r="AA70">
        <v>0.74299999999999999</v>
      </c>
      <c r="AB70">
        <v>0.78400000000000003</v>
      </c>
      <c r="AC70">
        <v>0.96299999999999997</v>
      </c>
      <c r="AD70">
        <v>3</v>
      </c>
      <c r="AE70">
        <v>2</v>
      </c>
      <c r="AF70">
        <v>2.5230000000000001</v>
      </c>
      <c r="AG70">
        <v>196.35</v>
      </c>
      <c r="AH70" t="s">
        <v>1877</v>
      </c>
      <c r="AI70" t="s">
        <v>2210</v>
      </c>
      <c r="AJ70" t="s">
        <v>2211</v>
      </c>
      <c r="AK70">
        <v>0</v>
      </c>
      <c r="AL70">
        <v>0</v>
      </c>
      <c r="AM70">
        <v>10171</v>
      </c>
      <c r="AN70">
        <v>148564</v>
      </c>
      <c r="AO70">
        <v>159186</v>
      </c>
      <c r="AP70">
        <v>73103</v>
      </c>
      <c r="AQ70">
        <v>35004</v>
      </c>
      <c r="AR70">
        <v>88384</v>
      </c>
      <c r="AS70">
        <v>0</v>
      </c>
      <c r="AT70">
        <v>0</v>
      </c>
      <c r="AU70">
        <v>10171.1875</v>
      </c>
      <c r="AV70">
        <v>148563.5625</v>
      </c>
      <c r="AW70">
        <v>159185.6875</v>
      </c>
      <c r="AX70">
        <v>73103.125</v>
      </c>
      <c r="AY70">
        <v>35003.5625</v>
      </c>
      <c r="AZ70">
        <v>88383.8125</v>
      </c>
      <c r="BA70">
        <v>0</v>
      </c>
      <c r="BB70">
        <v>0</v>
      </c>
      <c r="BC70">
        <v>0</v>
      </c>
      <c r="BD70">
        <v>0</v>
      </c>
      <c r="BE70">
        <v>0</v>
      </c>
      <c r="BF70">
        <v>0</v>
      </c>
      <c r="BG70">
        <v>0</v>
      </c>
      <c r="BH70">
        <v>0</v>
      </c>
    </row>
    <row r="71" spans="1:60" x14ac:dyDescent="0.55000000000000004">
      <c r="A71">
        <v>1109</v>
      </c>
      <c r="B71">
        <v>4.7679999999999998</v>
      </c>
      <c r="C71">
        <v>582.37829999999997</v>
      </c>
      <c r="D71" t="s">
        <v>2206</v>
      </c>
      <c r="E71" t="s">
        <v>1</v>
      </c>
      <c r="F71" t="s">
        <v>2</v>
      </c>
      <c r="G71">
        <v>0.25</v>
      </c>
      <c r="H71" t="b">
        <v>1</v>
      </c>
      <c r="I71">
        <v>6.9550000000000001</v>
      </c>
      <c r="J71">
        <v>582.37761999999998</v>
      </c>
      <c r="K71" t="s">
        <v>2207</v>
      </c>
      <c r="L71" t="s">
        <v>13</v>
      </c>
      <c r="M71" t="s">
        <v>13</v>
      </c>
      <c r="N71" t="s">
        <v>2208</v>
      </c>
      <c r="O71" t="s">
        <v>2109</v>
      </c>
      <c r="P71">
        <v>410</v>
      </c>
      <c r="Q71" t="b">
        <v>0</v>
      </c>
      <c r="R71" t="b">
        <v>1</v>
      </c>
      <c r="S71" t="b">
        <v>1</v>
      </c>
      <c r="T71" t="s">
        <v>7</v>
      </c>
      <c r="U71" t="b">
        <v>0</v>
      </c>
      <c r="V71" t="b">
        <v>0</v>
      </c>
      <c r="W71">
        <v>1109</v>
      </c>
      <c r="X71">
        <v>0</v>
      </c>
      <c r="Y71">
        <v>0</v>
      </c>
      <c r="Z71">
        <v>0.99</v>
      </c>
      <c r="AA71">
        <v>0.74399999999999999</v>
      </c>
      <c r="AB71">
        <v>0.81200000000000006</v>
      </c>
      <c r="AC71">
        <v>0.96099999999999997</v>
      </c>
      <c r="AD71">
        <v>3</v>
      </c>
      <c r="AE71">
        <v>2</v>
      </c>
      <c r="AF71">
        <v>2.5249999999999999</v>
      </c>
      <c r="AG71">
        <v>76.959999999999994</v>
      </c>
      <c r="AH71" t="s">
        <v>2008</v>
      </c>
      <c r="AI71" t="s">
        <v>2212</v>
      </c>
      <c r="AJ71" t="s">
        <v>2213</v>
      </c>
      <c r="AK71">
        <v>0</v>
      </c>
      <c r="AL71">
        <v>0</v>
      </c>
      <c r="AM71">
        <v>2596</v>
      </c>
      <c r="AN71">
        <v>47714</v>
      </c>
      <c r="AO71">
        <v>50709</v>
      </c>
      <c r="AP71">
        <v>24029</v>
      </c>
      <c r="AQ71">
        <v>8259</v>
      </c>
      <c r="AR71">
        <v>28783</v>
      </c>
      <c r="AS71">
        <v>0</v>
      </c>
      <c r="AT71">
        <v>0</v>
      </c>
      <c r="AU71">
        <v>2596.4375</v>
      </c>
      <c r="AV71">
        <v>47714.4375</v>
      </c>
      <c r="AW71">
        <v>50708.8125</v>
      </c>
      <c r="AX71">
        <v>24028.9375</v>
      </c>
      <c r="AY71">
        <v>8259.125</v>
      </c>
      <c r="AZ71">
        <v>28783.0625</v>
      </c>
      <c r="BA71">
        <v>0</v>
      </c>
      <c r="BB71">
        <v>0</v>
      </c>
      <c r="BC71">
        <v>0</v>
      </c>
      <c r="BD71">
        <v>0</v>
      </c>
      <c r="BE71">
        <v>0</v>
      </c>
      <c r="BF71">
        <v>0</v>
      </c>
      <c r="BG71">
        <v>0</v>
      </c>
      <c r="BH71">
        <v>0</v>
      </c>
    </row>
    <row r="72" spans="1:60" x14ac:dyDescent="0.55000000000000004">
      <c r="A72">
        <v>1110</v>
      </c>
      <c r="B72">
        <v>7.2809999999999997</v>
      </c>
      <c r="C72">
        <v>582.41449</v>
      </c>
      <c r="D72" t="s">
        <v>2214</v>
      </c>
      <c r="E72" t="s">
        <v>1</v>
      </c>
      <c r="F72" t="s">
        <v>2</v>
      </c>
      <c r="G72">
        <v>0.13</v>
      </c>
      <c r="H72" t="b">
        <v>1</v>
      </c>
      <c r="I72">
        <v>7.6429999999999998</v>
      </c>
      <c r="J72">
        <v>582.41399999999999</v>
      </c>
      <c r="K72" t="s">
        <v>2215</v>
      </c>
      <c r="L72" t="s">
        <v>2093</v>
      </c>
      <c r="M72" t="s">
        <v>13</v>
      </c>
      <c r="N72" t="s">
        <v>2216</v>
      </c>
      <c r="O72" t="s">
        <v>2225</v>
      </c>
      <c r="P72">
        <v>410</v>
      </c>
      <c r="Q72" t="b">
        <v>0</v>
      </c>
      <c r="R72" t="b">
        <v>1</v>
      </c>
      <c r="S72" t="b">
        <v>1</v>
      </c>
      <c r="T72" t="s">
        <v>7</v>
      </c>
      <c r="U72" t="b">
        <v>0</v>
      </c>
      <c r="V72" t="b">
        <v>0</v>
      </c>
      <c r="W72">
        <v>1110</v>
      </c>
      <c r="X72">
        <v>0</v>
      </c>
      <c r="Y72">
        <v>0</v>
      </c>
      <c r="Z72">
        <v>1</v>
      </c>
      <c r="AA72">
        <v>0.6</v>
      </c>
      <c r="AB72">
        <v>0.73699999999999999</v>
      </c>
      <c r="AC72">
        <v>0.98199999999999998</v>
      </c>
      <c r="AD72">
        <v>4</v>
      </c>
      <c r="AE72">
        <v>2</v>
      </c>
      <c r="AF72">
        <v>2.4910000000000001</v>
      </c>
      <c r="AG72">
        <v>15.52</v>
      </c>
      <c r="AH72" t="s">
        <v>1941</v>
      </c>
      <c r="AI72" t="s">
        <v>2218</v>
      </c>
      <c r="AJ72" t="s">
        <v>2219</v>
      </c>
      <c r="AK72">
        <v>0</v>
      </c>
      <c r="AL72">
        <v>0</v>
      </c>
      <c r="AM72">
        <v>4451</v>
      </c>
      <c r="AN72">
        <v>9193</v>
      </c>
      <c r="AO72">
        <v>16154</v>
      </c>
      <c r="AP72">
        <v>18778</v>
      </c>
      <c r="AQ72">
        <v>13684</v>
      </c>
      <c r="AR72">
        <v>23343</v>
      </c>
      <c r="AS72">
        <v>0</v>
      </c>
      <c r="AT72">
        <v>0</v>
      </c>
      <c r="AU72">
        <v>4451.0625</v>
      </c>
      <c r="AV72">
        <v>9192.9375</v>
      </c>
      <c r="AW72">
        <v>16154.3125</v>
      </c>
      <c r="AX72">
        <v>18777.625</v>
      </c>
      <c r="AY72">
        <v>13684.25</v>
      </c>
      <c r="AZ72">
        <v>23342.8125</v>
      </c>
      <c r="BA72">
        <v>0</v>
      </c>
      <c r="BB72">
        <v>0</v>
      </c>
      <c r="BC72">
        <v>0</v>
      </c>
      <c r="BD72">
        <v>0</v>
      </c>
      <c r="BE72">
        <v>0</v>
      </c>
      <c r="BF72">
        <v>0</v>
      </c>
      <c r="BG72">
        <v>0</v>
      </c>
      <c r="BH72">
        <v>0</v>
      </c>
    </row>
    <row r="73" spans="1:60" x14ac:dyDescent="0.55000000000000004">
      <c r="A73">
        <v>1113</v>
      </c>
      <c r="B73">
        <v>14.672000000000001</v>
      </c>
      <c r="C73">
        <v>582.51018999999997</v>
      </c>
      <c r="D73" t="s">
        <v>2106</v>
      </c>
      <c r="E73" t="s">
        <v>1</v>
      </c>
      <c r="F73" t="s">
        <v>2</v>
      </c>
      <c r="G73">
        <v>0.5</v>
      </c>
      <c r="H73" t="b">
        <v>1</v>
      </c>
      <c r="I73">
        <v>9.6769999999999996</v>
      </c>
      <c r="J73">
        <v>582.51031</v>
      </c>
      <c r="K73" t="s">
        <v>2107</v>
      </c>
      <c r="L73" t="s">
        <v>4</v>
      </c>
      <c r="N73" t="s">
        <v>2108</v>
      </c>
      <c r="O73" t="s">
        <v>2231</v>
      </c>
      <c r="P73">
        <v>410</v>
      </c>
      <c r="Q73" t="b">
        <v>0</v>
      </c>
      <c r="R73" t="b">
        <v>1</v>
      </c>
      <c r="S73" t="b">
        <v>1</v>
      </c>
      <c r="T73" t="s">
        <v>7</v>
      </c>
      <c r="U73" t="b">
        <v>0</v>
      </c>
      <c r="V73" t="b">
        <v>0</v>
      </c>
      <c r="W73">
        <v>1113</v>
      </c>
      <c r="X73">
        <v>0</v>
      </c>
      <c r="Y73">
        <v>0</v>
      </c>
      <c r="Z73">
        <v>1</v>
      </c>
      <c r="AA73">
        <v>0.65300000000000002</v>
      </c>
      <c r="AB73">
        <v>0.76300000000000001</v>
      </c>
      <c r="AC73">
        <v>0.94599999999999995</v>
      </c>
      <c r="AD73">
        <v>9</v>
      </c>
      <c r="AE73">
        <v>2</v>
      </c>
      <c r="AF73">
        <v>2.4940000000000002</v>
      </c>
      <c r="AG73">
        <v>273.36</v>
      </c>
      <c r="AH73" t="s">
        <v>1877</v>
      </c>
      <c r="AI73" t="s">
        <v>2220</v>
      </c>
      <c r="AJ73" t="s">
        <v>2221</v>
      </c>
      <c r="AK73">
        <v>0</v>
      </c>
      <c r="AL73">
        <v>0</v>
      </c>
      <c r="AM73">
        <v>121247</v>
      </c>
      <c r="AN73">
        <v>543716</v>
      </c>
      <c r="AO73">
        <v>551280</v>
      </c>
      <c r="AP73">
        <v>341759</v>
      </c>
      <c r="AQ73">
        <v>371951</v>
      </c>
      <c r="AR73">
        <v>358334</v>
      </c>
      <c r="AS73">
        <v>0</v>
      </c>
      <c r="AT73">
        <v>0</v>
      </c>
      <c r="AU73">
        <v>121246.9375</v>
      </c>
      <c r="AV73">
        <v>543715.6875</v>
      </c>
      <c r="AW73">
        <v>551280.4375</v>
      </c>
      <c r="AX73">
        <v>341759.125</v>
      </c>
      <c r="AY73">
        <v>371950.9375</v>
      </c>
      <c r="AZ73">
        <v>358333.875</v>
      </c>
      <c r="BA73">
        <v>0</v>
      </c>
      <c r="BB73">
        <v>0</v>
      </c>
      <c r="BC73">
        <v>0</v>
      </c>
      <c r="BD73">
        <v>0</v>
      </c>
      <c r="BE73">
        <v>0</v>
      </c>
      <c r="BF73">
        <v>0</v>
      </c>
      <c r="BG73">
        <v>0</v>
      </c>
      <c r="BH73">
        <v>0</v>
      </c>
    </row>
    <row r="74" spans="1:60" x14ac:dyDescent="0.55000000000000004">
      <c r="A74">
        <v>1126</v>
      </c>
      <c r="B74">
        <v>15.045999999999999</v>
      </c>
      <c r="C74">
        <v>584.52551000000005</v>
      </c>
      <c r="D74" t="s">
        <v>2222</v>
      </c>
      <c r="E74" t="s">
        <v>1</v>
      </c>
      <c r="F74" t="s">
        <v>2</v>
      </c>
      <c r="G74">
        <v>0.63</v>
      </c>
      <c r="H74" t="b">
        <v>1</v>
      </c>
      <c r="I74">
        <v>9.9890000000000008</v>
      </c>
      <c r="J74">
        <v>584.52588000000003</v>
      </c>
      <c r="K74" t="s">
        <v>2223</v>
      </c>
      <c r="L74" t="s">
        <v>68</v>
      </c>
      <c r="N74" t="s">
        <v>2224</v>
      </c>
      <c r="O74" t="s">
        <v>2237</v>
      </c>
      <c r="P74">
        <v>410</v>
      </c>
      <c r="Q74" t="b">
        <v>0</v>
      </c>
      <c r="R74" t="b">
        <v>1</v>
      </c>
      <c r="S74" t="b">
        <v>1</v>
      </c>
      <c r="T74" t="s">
        <v>7</v>
      </c>
      <c r="U74" t="b">
        <v>0</v>
      </c>
      <c r="V74" t="b">
        <v>0</v>
      </c>
      <c r="W74">
        <v>1126</v>
      </c>
      <c r="X74">
        <v>0</v>
      </c>
      <c r="Y74">
        <v>0</v>
      </c>
      <c r="Z74">
        <v>1</v>
      </c>
      <c r="AA74">
        <v>0.54900000000000004</v>
      </c>
      <c r="AB74">
        <v>0.74</v>
      </c>
      <c r="AC74">
        <v>0.91900000000000004</v>
      </c>
      <c r="AD74">
        <v>6</v>
      </c>
      <c r="AE74">
        <v>2</v>
      </c>
      <c r="AF74">
        <v>2.4540000000000002</v>
      </c>
      <c r="AG74">
        <v>175.53</v>
      </c>
      <c r="AH74" t="s">
        <v>2008</v>
      </c>
      <c r="AI74" t="s">
        <v>2226</v>
      </c>
      <c r="AJ74" t="s">
        <v>2227</v>
      </c>
      <c r="AK74">
        <v>0</v>
      </c>
      <c r="AL74">
        <v>0</v>
      </c>
      <c r="AM74">
        <v>0</v>
      </c>
      <c r="AN74">
        <v>105601</v>
      </c>
      <c r="AO74">
        <v>106761</v>
      </c>
      <c r="AP74">
        <v>68818</v>
      </c>
      <c r="AQ74">
        <v>72856</v>
      </c>
      <c r="AR74">
        <v>65125</v>
      </c>
      <c r="AS74">
        <v>0</v>
      </c>
      <c r="AT74">
        <v>0</v>
      </c>
      <c r="AU74">
        <v>0</v>
      </c>
      <c r="AV74">
        <v>105600.75</v>
      </c>
      <c r="AW74">
        <v>106761.4375</v>
      </c>
      <c r="AX74">
        <v>68818.0625</v>
      </c>
      <c r="AY74">
        <v>72856.1875</v>
      </c>
      <c r="AZ74">
        <v>65125.0625</v>
      </c>
      <c r="BA74">
        <v>0</v>
      </c>
      <c r="BB74">
        <v>0</v>
      </c>
      <c r="BC74">
        <v>0</v>
      </c>
      <c r="BD74">
        <v>0</v>
      </c>
      <c r="BE74">
        <v>0</v>
      </c>
      <c r="BF74">
        <v>0</v>
      </c>
      <c r="BG74">
        <v>0</v>
      </c>
      <c r="BH74">
        <v>0</v>
      </c>
    </row>
    <row r="75" spans="1:60" x14ac:dyDescent="0.55000000000000004">
      <c r="A75">
        <v>1138</v>
      </c>
      <c r="B75">
        <v>1.752</v>
      </c>
      <c r="C75">
        <v>586.31519000000003</v>
      </c>
      <c r="D75" t="s">
        <v>2228</v>
      </c>
      <c r="E75" t="s">
        <v>1</v>
      </c>
      <c r="F75" t="s">
        <v>2</v>
      </c>
      <c r="G75">
        <v>0.75</v>
      </c>
      <c r="H75" t="b">
        <v>1</v>
      </c>
      <c r="I75">
        <v>5.4119999999999999</v>
      </c>
      <c r="J75">
        <v>586.31500000000005</v>
      </c>
      <c r="K75" t="s">
        <v>2229</v>
      </c>
      <c r="L75" t="s">
        <v>13</v>
      </c>
      <c r="M75" t="s">
        <v>13</v>
      </c>
      <c r="N75" t="s">
        <v>2230</v>
      </c>
      <c r="O75" t="s">
        <v>2243</v>
      </c>
      <c r="P75">
        <v>410</v>
      </c>
      <c r="Q75" t="b">
        <v>0</v>
      </c>
      <c r="R75" t="b">
        <v>1</v>
      </c>
      <c r="S75" t="b">
        <v>1</v>
      </c>
      <c r="T75" t="s">
        <v>7</v>
      </c>
      <c r="U75" t="b">
        <v>0</v>
      </c>
      <c r="V75" t="b">
        <v>0</v>
      </c>
      <c r="W75">
        <v>1138</v>
      </c>
      <c r="X75">
        <v>0</v>
      </c>
      <c r="Y75">
        <v>0</v>
      </c>
      <c r="Z75">
        <v>1</v>
      </c>
      <c r="AA75">
        <v>0.76900000000000002</v>
      </c>
      <c r="AB75">
        <v>0.83</v>
      </c>
      <c r="AC75">
        <v>0.94899999999999995</v>
      </c>
      <c r="AD75">
        <v>3</v>
      </c>
      <c r="AE75">
        <v>2</v>
      </c>
      <c r="AF75">
        <v>2.5350000000000001</v>
      </c>
      <c r="AG75">
        <v>395.84</v>
      </c>
      <c r="AH75" t="s">
        <v>1877</v>
      </c>
      <c r="AI75" t="s">
        <v>2232</v>
      </c>
      <c r="AJ75" t="s">
        <v>2233</v>
      </c>
      <c r="AK75">
        <v>0</v>
      </c>
      <c r="AL75">
        <v>0</v>
      </c>
      <c r="AM75">
        <v>57703</v>
      </c>
      <c r="AN75">
        <v>450311</v>
      </c>
      <c r="AO75">
        <v>461799</v>
      </c>
      <c r="AP75">
        <v>188410</v>
      </c>
      <c r="AQ75">
        <v>213839</v>
      </c>
      <c r="AR75">
        <v>237419</v>
      </c>
      <c r="AS75">
        <v>0</v>
      </c>
      <c r="AT75">
        <v>0</v>
      </c>
      <c r="AU75">
        <v>57702.9375</v>
      </c>
      <c r="AV75">
        <v>450310.875</v>
      </c>
      <c r="AW75">
        <v>461798.9375</v>
      </c>
      <c r="AX75">
        <v>188409.8125</v>
      </c>
      <c r="AY75">
        <v>213839.125</v>
      </c>
      <c r="AZ75">
        <v>237418.875</v>
      </c>
      <c r="BA75">
        <v>0</v>
      </c>
      <c r="BB75">
        <v>0</v>
      </c>
      <c r="BC75">
        <v>0</v>
      </c>
      <c r="BD75">
        <v>0</v>
      </c>
      <c r="BE75">
        <v>0</v>
      </c>
      <c r="BF75">
        <v>0</v>
      </c>
      <c r="BG75">
        <v>0</v>
      </c>
      <c r="BH75">
        <v>0</v>
      </c>
    </row>
    <row r="76" spans="1:60" x14ac:dyDescent="0.55000000000000004">
      <c r="A76">
        <v>1146</v>
      </c>
      <c r="B76">
        <v>2.1669999999999998</v>
      </c>
      <c r="C76">
        <v>588.33037999999999</v>
      </c>
      <c r="D76" t="s">
        <v>2234</v>
      </c>
      <c r="E76" t="s">
        <v>1</v>
      </c>
      <c r="F76" t="s">
        <v>2</v>
      </c>
      <c r="G76">
        <v>0.75</v>
      </c>
      <c r="H76" t="b">
        <v>1</v>
      </c>
      <c r="I76">
        <v>5.79</v>
      </c>
      <c r="J76">
        <v>588.33069</v>
      </c>
      <c r="K76" t="s">
        <v>2235</v>
      </c>
      <c r="L76" t="s">
        <v>13</v>
      </c>
      <c r="M76" t="s">
        <v>13</v>
      </c>
      <c r="N76" t="s">
        <v>2236</v>
      </c>
      <c r="O76" t="s">
        <v>2249</v>
      </c>
      <c r="P76">
        <v>410</v>
      </c>
      <c r="Q76" t="b">
        <v>0</v>
      </c>
      <c r="R76" t="b">
        <v>1</v>
      </c>
      <c r="S76" t="b">
        <v>1</v>
      </c>
      <c r="T76" t="s">
        <v>7</v>
      </c>
      <c r="U76" t="b">
        <v>0</v>
      </c>
      <c r="V76" t="b">
        <v>0</v>
      </c>
      <c r="W76">
        <v>1146</v>
      </c>
      <c r="X76">
        <v>0</v>
      </c>
      <c r="Y76">
        <v>0</v>
      </c>
      <c r="Z76">
        <v>1</v>
      </c>
      <c r="AA76">
        <v>0.85099999999999998</v>
      </c>
      <c r="AB76">
        <v>0.9</v>
      </c>
      <c r="AC76">
        <v>0.95799999999999996</v>
      </c>
      <c r="AD76">
        <v>3</v>
      </c>
      <c r="AE76">
        <v>2</v>
      </c>
      <c r="AF76">
        <v>2.5710000000000002</v>
      </c>
      <c r="AG76">
        <v>9128.5400000000009</v>
      </c>
      <c r="AH76" t="s">
        <v>1889</v>
      </c>
      <c r="AI76" t="s">
        <v>2238</v>
      </c>
      <c r="AJ76" t="s">
        <v>2239</v>
      </c>
      <c r="AK76">
        <v>0</v>
      </c>
      <c r="AL76">
        <v>0</v>
      </c>
      <c r="AM76">
        <v>751744</v>
      </c>
      <c r="AN76">
        <v>6956928</v>
      </c>
      <c r="AO76">
        <v>7126800</v>
      </c>
      <c r="AP76">
        <v>3228903</v>
      </c>
      <c r="AQ76">
        <v>2791755</v>
      </c>
      <c r="AR76">
        <v>3870055</v>
      </c>
      <c r="AS76">
        <v>0</v>
      </c>
      <c r="AT76">
        <v>0</v>
      </c>
      <c r="AU76">
        <v>751743.625</v>
      </c>
      <c r="AV76">
        <v>6956928.4375</v>
      </c>
      <c r="AW76">
        <v>7126800.125</v>
      </c>
      <c r="AX76">
        <v>3228903.4375</v>
      </c>
      <c r="AY76">
        <v>2791754.875</v>
      </c>
      <c r="AZ76">
        <v>3870054.5625</v>
      </c>
      <c r="BA76">
        <v>0</v>
      </c>
      <c r="BB76">
        <v>0</v>
      </c>
      <c r="BC76">
        <v>0</v>
      </c>
      <c r="BD76">
        <v>0</v>
      </c>
      <c r="BE76">
        <v>0</v>
      </c>
      <c r="BF76">
        <v>0</v>
      </c>
      <c r="BG76">
        <v>0</v>
      </c>
      <c r="BH76">
        <v>0</v>
      </c>
    </row>
    <row r="77" spans="1:60" x14ac:dyDescent="0.55000000000000004">
      <c r="A77">
        <v>1162</v>
      </c>
      <c r="B77">
        <v>2.573</v>
      </c>
      <c r="C77">
        <v>590.34600999999998</v>
      </c>
      <c r="D77" t="s">
        <v>2240</v>
      </c>
      <c r="E77" t="s">
        <v>1</v>
      </c>
      <c r="F77" t="s">
        <v>2</v>
      </c>
      <c r="G77">
        <v>0.63</v>
      </c>
      <c r="H77" t="b">
        <v>1</v>
      </c>
      <c r="I77">
        <v>5.9429999999999996</v>
      </c>
      <c r="J77">
        <v>590.34631000000002</v>
      </c>
      <c r="K77" t="s">
        <v>2241</v>
      </c>
      <c r="L77" t="s">
        <v>13</v>
      </c>
      <c r="M77" t="s">
        <v>13</v>
      </c>
      <c r="N77" t="s">
        <v>2242</v>
      </c>
      <c r="O77" t="s">
        <v>2255</v>
      </c>
      <c r="P77">
        <v>410</v>
      </c>
      <c r="Q77" t="b">
        <v>0</v>
      </c>
      <c r="R77" t="b">
        <v>1</v>
      </c>
      <c r="S77" t="b">
        <v>1</v>
      </c>
      <c r="T77" t="s">
        <v>7</v>
      </c>
      <c r="U77" t="b">
        <v>0</v>
      </c>
      <c r="V77" t="b">
        <v>0</v>
      </c>
      <c r="W77">
        <v>1162</v>
      </c>
      <c r="X77">
        <v>0</v>
      </c>
      <c r="Y77">
        <v>0</v>
      </c>
      <c r="Z77">
        <v>0.99</v>
      </c>
      <c r="AA77">
        <v>0.82</v>
      </c>
      <c r="AB77">
        <v>0.88600000000000001</v>
      </c>
      <c r="AC77">
        <v>0.96399999999999997</v>
      </c>
      <c r="AD77">
        <v>3</v>
      </c>
      <c r="AE77">
        <v>2</v>
      </c>
      <c r="AF77">
        <v>2.5590000000000002</v>
      </c>
      <c r="AG77">
        <v>3340.79</v>
      </c>
      <c r="AH77" t="s">
        <v>89</v>
      </c>
      <c r="AI77" t="s">
        <v>2244</v>
      </c>
      <c r="AJ77" t="s">
        <v>2245</v>
      </c>
      <c r="AK77">
        <v>0</v>
      </c>
      <c r="AL77">
        <v>0</v>
      </c>
      <c r="AM77">
        <v>206599</v>
      </c>
      <c r="AN77">
        <v>1945643</v>
      </c>
      <c r="AO77">
        <v>2065954</v>
      </c>
      <c r="AP77">
        <v>911169</v>
      </c>
      <c r="AQ77">
        <v>606353</v>
      </c>
      <c r="AR77">
        <v>1144526</v>
      </c>
      <c r="AS77">
        <v>0</v>
      </c>
      <c r="AT77">
        <v>0</v>
      </c>
      <c r="AU77">
        <v>206598.5625</v>
      </c>
      <c r="AV77">
        <v>1945642.6875</v>
      </c>
      <c r="AW77">
        <v>2065953.8125</v>
      </c>
      <c r="AX77">
        <v>911169</v>
      </c>
      <c r="AY77">
        <v>606352.9375</v>
      </c>
      <c r="AZ77">
        <v>1144526</v>
      </c>
      <c r="BA77">
        <v>0</v>
      </c>
      <c r="BB77">
        <v>0</v>
      </c>
      <c r="BC77">
        <v>0</v>
      </c>
      <c r="BD77">
        <v>0</v>
      </c>
      <c r="BE77">
        <v>0</v>
      </c>
      <c r="BF77">
        <v>0</v>
      </c>
      <c r="BG77">
        <v>0</v>
      </c>
      <c r="BH77">
        <v>0</v>
      </c>
    </row>
    <row r="78" spans="1:60" x14ac:dyDescent="0.55000000000000004">
      <c r="A78">
        <v>1173</v>
      </c>
      <c r="B78">
        <v>3.2410000000000001</v>
      </c>
      <c r="C78">
        <v>592.36176</v>
      </c>
      <c r="D78" t="s">
        <v>2246</v>
      </c>
      <c r="E78" t="s">
        <v>1</v>
      </c>
      <c r="F78" t="s">
        <v>2</v>
      </c>
      <c r="G78">
        <v>0.38</v>
      </c>
      <c r="H78" t="b">
        <v>1</v>
      </c>
      <c r="I78">
        <v>6.4009999999999998</v>
      </c>
      <c r="J78">
        <v>592.36199999999997</v>
      </c>
      <c r="K78" t="s">
        <v>2247</v>
      </c>
      <c r="L78" t="s">
        <v>13</v>
      </c>
      <c r="M78" t="s">
        <v>13</v>
      </c>
      <c r="N78" t="s">
        <v>2248</v>
      </c>
      <c r="O78" t="s">
        <v>2261</v>
      </c>
      <c r="P78">
        <v>410</v>
      </c>
      <c r="Q78" t="b">
        <v>0</v>
      </c>
      <c r="R78" t="b">
        <v>1</v>
      </c>
      <c r="S78" t="b">
        <v>1</v>
      </c>
      <c r="T78" t="s">
        <v>7</v>
      </c>
      <c r="U78" t="b">
        <v>0</v>
      </c>
      <c r="V78" t="b">
        <v>0</v>
      </c>
      <c r="W78">
        <v>1173</v>
      </c>
      <c r="X78">
        <v>0</v>
      </c>
      <c r="Y78">
        <v>0</v>
      </c>
      <c r="Z78">
        <v>1</v>
      </c>
      <c r="AA78">
        <v>0.746</v>
      </c>
      <c r="AB78">
        <v>0.82199999999999995</v>
      </c>
      <c r="AC78">
        <v>0.96399999999999997</v>
      </c>
      <c r="AD78">
        <v>3</v>
      </c>
      <c r="AE78">
        <v>2</v>
      </c>
      <c r="AF78">
        <v>2.5350000000000001</v>
      </c>
      <c r="AG78">
        <v>804.81</v>
      </c>
      <c r="AH78" t="s">
        <v>1877</v>
      </c>
      <c r="AI78" t="s">
        <v>2250</v>
      </c>
      <c r="AJ78" t="s">
        <v>2251</v>
      </c>
      <c r="AK78">
        <v>0</v>
      </c>
      <c r="AL78">
        <v>0</v>
      </c>
      <c r="AM78">
        <v>29126</v>
      </c>
      <c r="AN78">
        <v>435005</v>
      </c>
      <c r="AO78">
        <v>462019</v>
      </c>
      <c r="AP78">
        <v>216218</v>
      </c>
      <c r="AQ78">
        <v>107433</v>
      </c>
      <c r="AR78">
        <v>253288</v>
      </c>
      <c r="AS78">
        <v>0</v>
      </c>
      <c r="AT78">
        <v>0</v>
      </c>
      <c r="AU78">
        <v>29126.1875</v>
      </c>
      <c r="AV78">
        <v>435005.25</v>
      </c>
      <c r="AW78">
        <v>462019</v>
      </c>
      <c r="AX78">
        <v>216217.5625</v>
      </c>
      <c r="AY78">
        <v>107433.0625</v>
      </c>
      <c r="AZ78">
        <v>253288.5</v>
      </c>
      <c r="BA78">
        <v>0</v>
      </c>
      <c r="BB78">
        <v>0</v>
      </c>
      <c r="BC78">
        <v>0</v>
      </c>
      <c r="BD78">
        <v>0</v>
      </c>
      <c r="BE78">
        <v>0</v>
      </c>
      <c r="BF78">
        <v>0</v>
      </c>
      <c r="BG78">
        <v>0</v>
      </c>
      <c r="BH78">
        <v>0</v>
      </c>
    </row>
    <row r="79" spans="1:60" x14ac:dyDescent="0.55000000000000004">
      <c r="A79">
        <v>1190</v>
      </c>
      <c r="B79">
        <v>4.3650000000000002</v>
      </c>
      <c r="C79">
        <v>594.37725999999998</v>
      </c>
      <c r="D79" t="s">
        <v>2252</v>
      </c>
      <c r="E79" t="s">
        <v>1</v>
      </c>
      <c r="F79" t="s">
        <v>2</v>
      </c>
      <c r="G79">
        <v>0.38</v>
      </c>
      <c r="H79" t="b">
        <v>1</v>
      </c>
      <c r="I79">
        <v>6.7610000000000001</v>
      </c>
      <c r="J79">
        <v>594.37761999999998</v>
      </c>
      <c r="K79" t="s">
        <v>2253</v>
      </c>
      <c r="L79" t="s">
        <v>13</v>
      </c>
      <c r="M79" t="s">
        <v>13</v>
      </c>
      <c r="N79" t="s">
        <v>2254</v>
      </c>
      <c r="O79" t="s">
        <v>2267</v>
      </c>
      <c r="P79">
        <v>410</v>
      </c>
      <c r="Q79" t="b">
        <v>0</v>
      </c>
      <c r="R79" t="b">
        <v>1</v>
      </c>
      <c r="S79" t="b">
        <v>1</v>
      </c>
      <c r="T79" t="s">
        <v>7</v>
      </c>
      <c r="U79" t="b">
        <v>0</v>
      </c>
      <c r="V79" t="b">
        <v>0</v>
      </c>
      <c r="W79">
        <v>1190</v>
      </c>
      <c r="X79">
        <v>0</v>
      </c>
      <c r="Y79">
        <v>0</v>
      </c>
      <c r="Z79">
        <v>1</v>
      </c>
      <c r="AA79">
        <v>0.81200000000000006</v>
      </c>
      <c r="AB79">
        <v>0.88400000000000001</v>
      </c>
      <c r="AC79">
        <v>0.96399999999999997</v>
      </c>
      <c r="AD79">
        <v>3</v>
      </c>
      <c r="AE79">
        <v>2</v>
      </c>
      <c r="AF79">
        <v>2.5619999999999998</v>
      </c>
      <c r="AG79">
        <v>126585.1</v>
      </c>
      <c r="AH79" t="s">
        <v>1877</v>
      </c>
      <c r="AI79" t="s">
        <v>2256</v>
      </c>
      <c r="AJ79" t="s">
        <v>2257</v>
      </c>
      <c r="AK79">
        <v>0</v>
      </c>
      <c r="AL79">
        <v>0</v>
      </c>
      <c r="AM79">
        <v>29664</v>
      </c>
      <c r="AN79">
        <v>380430</v>
      </c>
      <c r="AO79">
        <v>418311</v>
      </c>
      <c r="AP79">
        <v>193709</v>
      </c>
      <c r="AQ79">
        <v>72367</v>
      </c>
      <c r="AR79">
        <v>220452</v>
      </c>
      <c r="AS79">
        <v>0</v>
      </c>
      <c r="AT79">
        <v>0</v>
      </c>
      <c r="AU79">
        <v>29664.3125</v>
      </c>
      <c r="AV79">
        <v>380430.25</v>
      </c>
      <c r="AW79">
        <v>418310.75</v>
      </c>
      <c r="AX79">
        <v>193708.5625</v>
      </c>
      <c r="AY79">
        <v>72366.5625</v>
      </c>
      <c r="AZ79">
        <v>220452.0625</v>
      </c>
      <c r="BA79">
        <v>0</v>
      </c>
      <c r="BB79">
        <v>0</v>
      </c>
      <c r="BC79">
        <v>0</v>
      </c>
      <c r="BD79">
        <v>0</v>
      </c>
      <c r="BE79">
        <v>0</v>
      </c>
      <c r="BF79">
        <v>0</v>
      </c>
      <c r="BG79">
        <v>0</v>
      </c>
      <c r="BH79">
        <v>0</v>
      </c>
    </row>
    <row r="80" spans="1:60" x14ac:dyDescent="0.55000000000000004">
      <c r="A80">
        <v>1196</v>
      </c>
      <c r="B80">
        <v>1.794</v>
      </c>
      <c r="C80">
        <v>595.28925000000004</v>
      </c>
      <c r="D80" t="s">
        <v>2258</v>
      </c>
      <c r="E80" t="s">
        <v>32</v>
      </c>
      <c r="F80" t="s">
        <v>2</v>
      </c>
      <c r="G80">
        <v>0.63</v>
      </c>
      <c r="H80" t="b">
        <v>1</v>
      </c>
      <c r="I80">
        <v>5.109</v>
      </c>
      <c r="J80">
        <v>595.28887999999995</v>
      </c>
      <c r="K80" t="s">
        <v>2259</v>
      </c>
      <c r="L80" t="s">
        <v>34</v>
      </c>
      <c r="N80" t="s">
        <v>2260</v>
      </c>
      <c r="O80" t="s">
        <v>2273</v>
      </c>
      <c r="P80">
        <v>410</v>
      </c>
      <c r="Q80" t="b">
        <v>0</v>
      </c>
      <c r="R80" t="b">
        <v>1</v>
      </c>
      <c r="S80" t="b">
        <v>1</v>
      </c>
      <c r="T80" t="s">
        <v>7</v>
      </c>
      <c r="U80" t="b">
        <v>0</v>
      </c>
      <c r="V80" t="b">
        <v>0</v>
      </c>
      <c r="W80">
        <v>1196</v>
      </c>
      <c r="X80">
        <v>0</v>
      </c>
      <c r="Y80">
        <v>0</v>
      </c>
      <c r="Z80">
        <v>1</v>
      </c>
      <c r="AA80">
        <v>0.59799999999999998</v>
      </c>
      <c r="AB80">
        <v>0.67300000000000004</v>
      </c>
      <c r="AC80">
        <v>0.97599999999999998</v>
      </c>
      <c r="AD80">
        <v>6</v>
      </c>
      <c r="AE80">
        <v>2</v>
      </c>
      <c r="AF80">
        <v>2.476</v>
      </c>
      <c r="AG80">
        <v>49.7</v>
      </c>
      <c r="AH80" t="s">
        <v>1889</v>
      </c>
      <c r="AI80" t="s">
        <v>2262</v>
      </c>
      <c r="AJ80" t="s">
        <v>2263</v>
      </c>
      <c r="AK80">
        <v>0</v>
      </c>
      <c r="AL80">
        <v>0</v>
      </c>
      <c r="AM80">
        <v>10794</v>
      </c>
      <c r="AN80">
        <v>55660</v>
      </c>
      <c r="AO80">
        <v>57819</v>
      </c>
      <c r="AP80">
        <v>26707</v>
      </c>
      <c r="AQ80">
        <v>32862</v>
      </c>
      <c r="AR80">
        <v>30856</v>
      </c>
      <c r="AS80">
        <v>0</v>
      </c>
      <c r="AT80">
        <v>0</v>
      </c>
      <c r="AU80">
        <v>10793.75</v>
      </c>
      <c r="AV80">
        <v>55660</v>
      </c>
      <c r="AW80">
        <v>57819.3125</v>
      </c>
      <c r="AX80">
        <v>26707.25</v>
      </c>
      <c r="AY80">
        <v>32862.25</v>
      </c>
      <c r="AZ80">
        <v>30856.375</v>
      </c>
      <c r="BA80">
        <v>0</v>
      </c>
      <c r="BB80">
        <v>0</v>
      </c>
      <c r="BC80">
        <v>0</v>
      </c>
      <c r="BD80">
        <v>0</v>
      </c>
      <c r="BE80">
        <v>0</v>
      </c>
      <c r="BF80">
        <v>0</v>
      </c>
      <c r="BG80">
        <v>0</v>
      </c>
      <c r="BH80">
        <v>0</v>
      </c>
    </row>
    <row r="81" spans="1:60" x14ac:dyDescent="0.55000000000000004">
      <c r="A81">
        <v>1209</v>
      </c>
      <c r="B81">
        <v>6.2140000000000004</v>
      </c>
      <c r="C81">
        <v>596.39355</v>
      </c>
      <c r="D81" t="s">
        <v>2264</v>
      </c>
      <c r="E81" t="s">
        <v>1</v>
      </c>
      <c r="F81" t="s">
        <v>2</v>
      </c>
      <c r="G81">
        <v>0.25</v>
      </c>
      <c r="H81" t="b">
        <v>1</v>
      </c>
      <c r="I81">
        <v>7.2949999999999999</v>
      </c>
      <c r="J81">
        <v>596.39331000000004</v>
      </c>
      <c r="K81" t="s">
        <v>2265</v>
      </c>
      <c r="L81" t="s">
        <v>13</v>
      </c>
      <c r="M81" t="s">
        <v>13</v>
      </c>
      <c r="N81" t="s">
        <v>2266</v>
      </c>
      <c r="O81" t="s">
        <v>2279</v>
      </c>
      <c r="P81">
        <v>410</v>
      </c>
      <c r="Q81" t="b">
        <v>0</v>
      </c>
      <c r="R81" t="b">
        <v>1</v>
      </c>
      <c r="S81" t="b">
        <v>1</v>
      </c>
      <c r="T81" t="s">
        <v>7</v>
      </c>
      <c r="U81" t="b">
        <v>0</v>
      </c>
      <c r="V81" t="b">
        <v>0</v>
      </c>
      <c r="W81">
        <v>1209</v>
      </c>
      <c r="X81">
        <v>0</v>
      </c>
      <c r="Y81">
        <v>0</v>
      </c>
      <c r="Z81">
        <v>1</v>
      </c>
      <c r="AA81">
        <v>0.80200000000000005</v>
      </c>
      <c r="AB81">
        <v>0.86599999999999999</v>
      </c>
      <c r="AC81">
        <v>0.96399999999999997</v>
      </c>
      <c r="AD81">
        <v>3</v>
      </c>
      <c r="AE81">
        <v>2</v>
      </c>
      <c r="AF81">
        <v>2.5550000000000002</v>
      </c>
      <c r="AG81">
        <v>154.88999999999999</v>
      </c>
      <c r="AH81" t="s">
        <v>1877</v>
      </c>
      <c r="AI81" t="s">
        <v>2268</v>
      </c>
      <c r="AJ81" t="s">
        <v>2269</v>
      </c>
      <c r="AK81">
        <v>0</v>
      </c>
      <c r="AL81">
        <v>0</v>
      </c>
      <c r="AM81">
        <v>19148</v>
      </c>
      <c r="AN81">
        <v>43289</v>
      </c>
      <c r="AO81">
        <v>165237</v>
      </c>
      <c r="AP81">
        <v>72148</v>
      </c>
      <c r="AQ81">
        <v>48204</v>
      </c>
      <c r="AR81">
        <v>87022</v>
      </c>
      <c r="AS81">
        <v>0</v>
      </c>
      <c r="AT81">
        <v>0</v>
      </c>
      <c r="AU81">
        <v>19147.8125</v>
      </c>
      <c r="AV81">
        <v>43288.5625</v>
      </c>
      <c r="AW81">
        <v>165236.625</v>
      </c>
      <c r="AX81">
        <v>72148.25</v>
      </c>
      <c r="AY81">
        <v>48204</v>
      </c>
      <c r="AZ81">
        <v>87022</v>
      </c>
      <c r="BA81">
        <v>0</v>
      </c>
      <c r="BB81">
        <v>0</v>
      </c>
      <c r="BC81">
        <v>0</v>
      </c>
      <c r="BD81">
        <v>0</v>
      </c>
      <c r="BE81">
        <v>0</v>
      </c>
      <c r="BF81">
        <v>0</v>
      </c>
      <c r="BG81">
        <v>0</v>
      </c>
      <c r="BH81">
        <v>0</v>
      </c>
    </row>
    <row r="82" spans="1:60" x14ac:dyDescent="0.55000000000000004">
      <c r="A82">
        <v>1215</v>
      </c>
      <c r="B82">
        <v>2.3149999999999999</v>
      </c>
      <c r="C82">
        <v>597.30462999999997</v>
      </c>
      <c r="D82" t="s">
        <v>2270</v>
      </c>
      <c r="E82" t="s">
        <v>32</v>
      </c>
      <c r="F82" t="s">
        <v>2</v>
      </c>
      <c r="G82">
        <v>0.63</v>
      </c>
      <c r="H82" t="b">
        <v>1</v>
      </c>
      <c r="I82">
        <v>5.6660000000000004</v>
      </c>
      <c r="J82">
        <v>597.30449999999996</v>
      </c>
      <c r="K82" t="s">
        <v>2271</v>
      </c>
      <c r="L82" t="s">
        <v>34</v>
      </c>
      <c r="N82" t="s">
        <v>2272</v>
      </c>
      <c r="Q82" t="b">
        <v>0</v>
      </c>
      <c r="R82" t="b">
        <v>1</v>
      </c>
      <c r="S82" t="b">
        <v>1</v>
      </c>
      <c r="T82" t="s">
        <v>7</v>
      </c>
      <c r="U82" t="b">
        <v>0</v>
      </c>
      <c r="V82" t="b">
        <v>0</v>
      </c>
      <c r="W82">
        <v>1215</v>
      </c>
      <c r="X82">
        <v>0</v>
      </c>
      <c r="Y82">
        <v>0</v>
      </c>
      <c r="Z82">
        <v>1</v>
      </c>
      <c r="AA82">
        <v>0.53200000000000003</v>
      </c>
      <c r="AB82">
        <v>0.629</v>
      </c>
      <c r="AC82">
        <v>0.98499999999999999</v>
      </c>
      <c r="AD82">
        <v>6</v>
      </c>
      <c r="AE82">
        <v>2</v>
      </c>
      <c r="AF82">
        <v>2.4569999999999999</v>
      </c>
      <c r="AG82">
        <v>23015.68</v>
      </c>
      <c r="AH82" t="s">
        <v>1877</v>
      </c>
      <c r="AI82" t="s">
        <v>2274</v>
      </c>
      <c r="AJ82" t="s">
        <v>2275</v>
      </c>
      <c r="AK82">
        <v>0</v>
      </c>
      <c r="AL82">
        <v>0</v>
      </c>
      <c r="AM82">
        <v>8220</v>
      </c>
      <c r="AN82">
        <v>58960</v>
      </c>
      <c r="AO82">
        <v>61103</v>
      </c>
      <c r="AP82">
        <v>35420</v>
      </c>
      <c r="AQ82">
        <v>42571</v>
      </c>
      <c r="AR82">
        <v>36843</v>
      </c>
      <c r="AS82">
        <v>0</v>
      </c>
      <c r="AT82">
        <v>0</v>
      </c>
      <c r="AU82">
        <v>8219.5625</v>
      </c>
      <c r="AV82">
        <v>58960.4375</v>
      </c>
      <c r="AW82">
        <v>61102.9375</v>
      </c>
      <c r="AX82">
        <v>35419.875</v>
      </c>
      <c r="AY82">
        <v>42571.125</v>
      </c>
      <c r="AZ82">
        <v>36842.9375</v>
      </c>
      <c r="BA82">
        <v>0</v>
      </c>
      <c r="BB82">
        <v>0</v>
      </c>
      <c r="BC82">
        <v>0</v>
      </c>
      <c r="BD82">
        <v>0</v>
      </c>
      <c r="BE82">
        <v>0</v>
      </c>
      <c r="BF82">
        <v>0</v>
      </c>
      <c r="BG82">
        <v>0</v>
      </c>
      <c r="BH82">
        <v>0</v>
      </c>
    </row>
    <row r="83" spans="1:60" x14ac:dyDescent="0.55000000000000004">
      <c r="A83">
        <v>1226</v>
      </c>
      <c r="B83">
        <v>3.198</v>
      </c>
      <c r="C83">
        <v>599.31982000000005</v>
      </c>
      <c r="D83" t="s">
        <v>2276</v>
      </c>
      <c r="E83" t="s">
        <v>32</v>
      </c>
      <c r="F83" t="s">
        <v>2</v>
      </c>
      <c r="G83">
        <v>0.63</v>
      </c>
      <c r="H83" t="b">
        <v>1</v>
      </c>
      <c r="I83">
        <v>6.0229999999999997</v>
      </c>
      <c r="J83">
        <v>599.32019000000003</v>
      </c>
      <c r="K83" t="s">
        <v>2277</v>
      </c>
      <c r="L83" t="s">
        <v>34</v>
      </c>
      <c r="N83" t="s">
        <v>2278</v>
      </c>
      <c r="Q83" t="b">
        <v>0</v>
      </c>
      <c r="R83" t="b">
        <v>1</v>
      </c>
      <c r="S83" t="b">
        <v>1</v>
      </c>
      <c r="T83" t="s">
        <v>7</v>
      </c>
      <c r="U83" t="b">
        <v>0</v>
      </c>
      <c r="V83" t="b">
        <v>0</v>
      </c>
      <c r="W83">
        <v>1226</v>
      </c>
      <c r="X83">
        <v>0</v>
      </c>
      <c r="Y83">
        <v>0</v>
      </c>
      <c r="Z83">
        <v>1</v>
      </c>
      <c r="AA83">
        <v>0.84199999999999997</v>
      </c>
      <c r="AB83">
        <v>0.88900000000000001</v>
      </c>
      <c r="AC83">
        <v>0.98899999999999999</v>
      </c>
      <c r="AD83">
        <v>6</v>
      </c>
      <c r="AE83">
        <v>2</v>
      </c>
      <c r="AF83">
        <v>2.58</v>
      </c>
      <c r="AG83">
        <v>696.36</v>
      </c>
      <c r="AH83" t="s">
        <v>1877</v>
      </c>
      <c r="AI83" t="s">
        <v>2280</v>
      </c>
      <c r="AJ83" t="s">
        <v>2281</v>
      </c>
      <c r="AK83">
        <v>0</v>
      </c>
      <c r="AL83">
        <v>0</v>
      </c>
      <c r="AM83">
        <v>44418</v>
      </c>
      <c r="AN83">
        <v>213303</v>
      </c>
      <c r="AO83">
        <v>233144</v>
      </c>
      <c r="AP83">
        <v>128716</v>
      </c>
      <c r="AQ83">
        <v>35210</v>
      </c>
      <c r="AR83">
        <v>140351</v>
      </c>
      <c r="AS83">
        <v>0</v>
      </c>
      <c r="AT83">
        <v>0</v>
      </c>
      <c r="AU83">
        <v>44417.625</v>
      </c>
      <c r="AV83">
        <v>213303.125</v>
      </c>
      <c r="AW83">
        <v>233143.5625</v>
      </c>
      <c r="AX83">
        <v>128716.375</v>
      </c>
      <c r="AY83">
        <v>35210.3125</v>
      </c>
      <c r="AZ83">
        <v>140350.875</v>
      </c>
      <c r="BA83">
        <v>0</v>
      </c>
      <c r="BB83">
        <v>0</v>
      </c>
      <c r="BC83">
        <v>0</v>
      </c>
      <c r="BD83">
        <v>0</v>
      </c>
      <c r="BE83">
        <v>0</v>
      </c>
      <c r="BF83">
        <v>0</v>
      </c>
      <c r="BG83">
        <v>0</v>
      </c>
      <c r="BH83">
        <v>0</v>
      </c>
    </row>
    <row r="87" spans="1:60" x14ac:dyDescent="0.55000000000000004">
      <c r="A87" s="5" t="s">
        <v>154</v>
      </c>
      <c r="O87" t="s">
        <v>6</v>
      </c>
      <c r="P87">
        <v>410</v>
      </c>
    </row>
    <row r="88" spans="1:60" x14ac:dyDescent="0.55000000000000004">
      <c r="O88" t="s">
        <v>15</v>
      </c>
      <c r="P88">
        <v>410</v>
      </c>
    </row>
    <row r="89" spans="1:60" x14ac:dyDescent="0.55000000000000004">
      <c r="A89">
        <v>105</v>
      </c>
      <c r="B89">
        <v>15.803000000000001</v>
      </c>
      <c r="C89">
        <v>610.54265999999996</v>
      </c>
      <c r="D89" t="s">
        <v>0</v>
      </c>
      <c r="E89" t="s">
        <v>1</v>
      </c>
      <c r="F89" t="s">
        <v>2</v>
      </c>
      <c r="G89">
        <v>0.83</v>
      </c>
      <c r="H89" t="b">
        <v>1</v>
      </c>
      <c r="I89">
        <v>10.583</v>
      </c>
      <c r="J89">
        <v>610.54163000000005</v>
      </c>
      <c r="K89" t="s">
        <v>3</v>
      </c>
      <c r="L89" t="s">
        <v>4</v>
      </c>
      <c r="N89" t="s">
        <v>5</v>
      </c>
      <c r="O89" t="s">
        <v>21</v>
      </c>
      <c r="P89">
        <v>410</v>
      </c>
      <c r="Q89" t="b">
        <v>0</v>
      </c>
      <c r="R89" t="b">
        <v>1</v>
      </c>
      <c r="S89" t="b">
        <v>1</v>
      </c>
      <c r="T89" t="s">
        <v>7</v>
      </c>
      <c r="U89" t="b">
        <v>0</v>
      </c>
      <c r="V89" t="b">
        <v>0</v>
      </c>
      <c r="W89">
        <v>105</v>
      </c>
      <c r="X89">
        <v>0</v>
      </c>
      <c r="Y89">
        <v>0</v>
      </c>
      <c r="Z89">
        <v>0.99</v>
      </c>
      <c r="AA89">
        <v>0.624</v>
      </c>
      <c r="AB89">
        <v>0.73499999999999999</v>
      </c>
      <c r="AC89">
        <v>0.93600000000000005</v>
      </c>
      <c r="AD89">
        <v>10</v>
      </c>
      <c r="AE89">
        <v>2</v>
      </c>
      <c r="AF89">
        <v>2.476</v>
      </c>
      <c r="AG89">
        <v>682.9</v>
      </c>
      <c r="AH89" t="s">
        <v>8</v>
      </c>
      <c r="AI89" t="s">
        <v>9</v>
      </c>
      <c r="AJ89" t="s">
        <v>10</v>
      </c>
      <c r="AK89">
        <v>66060</v>
      </c>
      <c r="AL89">
        <v>0</v>
      </c>
      <c r="AM89">
        <v>289967</v>
      </c>
      <c r="AN89">
        <v>738141</v>
      </c>
      <c r="AO89">
        <v>409447</v>
      </c>
      <c r="AP89">
        <v>412103</v>
      </c>
      <c r="AQ89">
        <v>66060.3125</v>
      </c>
      <c r="AR89">
        <v>0</v>
      </c>
      <c r="AS89">
        <v>289967.25</v>
      </c>
      <c r="AT89">
        <v>738141.3125</v>
      </c>
      <c r="AU89">
        <v>409446.75</v>
      </c>
      <c r="AV89">
        <v>412102.9375</v>
      </c>
      <c r="AW89">
        <v>0</v>
      </c>
      <c r="AX89">
        <v>0</v>
      </c>
      <c r="AY89">
        <v>0</v>
      </c>
      <c r="AZ89">
        <v>0</v>
      </c>
      <c r="BA89">
        <v>0</v>
      </c>
      <c r="BB89">
        <v>0</v>
      </c>
    </row>
    <row r="90" spans="1:60" x14ac:dyDescent="0.55000000000000004">
      <c r="A90">
        <v>109</v>
      </c>
      <c r="B90">
        <v>1.9830000000000001</v>
      </c>
      <c r="C90">
        <v>612.33167000000003</v>
      </c>
      <c r="D90" t="s">
        <v>11</v>
      </c>
      <c r="E90" t="s">
        <v>1</v>
      </c>
      <c r="F90" t="s">
        <v>2</v>
      </c>
      <c r="G90">
        <v>0.83</v>
      </c>
      <c r="H90" t="b">
        <v>1</v>
      </c>
      <c r="I90">
        <v>5.8879999999999999</v>
      </c>
      <c r="J90">
        <v>612.33069</v>
      </c>
      <c r="K90" t="s">
        <v>12</v>
      </c>
      <c r="L90" t="s">
        <v>13</v>
      </c>
      <c r="M90" t="s">
        <v>13</v>
      </c>
      <c r="N90" t="s">
        <v>14</v>
      </c>
      <c r="O90" t="s">
        <v>28</v>
      </c>
      <c r="P90">
        <v>410</v>
      </c>
      <c r="Q90" t="b">
        <v>0</v>
      </c>
      <c r="R90" t="b">
        <v>1</v>
      </c>
      <c r="S90" t="b">
        <v>1</v>
      </c>
      <c r="T90" t="s">
        <v>7</v>
      </c>
      <c r="U90" t="b">
        <v>0</v>
      </c>
      <c r="V90" t="b">
        <v>0</v>
      </c>
      <c r="W90">
        <v>109</v>
      </c>
      <c r="X90">
        <v>0</v>
      </c>
      <c r="Y90">
        <v>0</v>
      </c>
      <c r="Z90">
        <v>0.98</v>
      </c>
      <c r="AA90">
        <v>0.56599999999999995</v>
      </c>
      <c r="AB90">
        <v>0.68500000000000005</v>
      </c>
      <c r="AC90">
        <v>0.95599999999999996</v>
      </c>
      <c r="AD90">
        <v>3</v>
      </c>
      <c r="AE90">
        <v>2</v>
      </c>
      <c r="AF90">
        <v>2.4540000000000002</v>
      </c>
      <c r="AG90">
        <v>5013.62</v>
      </c>
      <c r="AH90" t="s">
        <v>8</v>
      </c>
      <c r="AI90" t="s">
        <v>16</v>
      </c>
      <c r="AJ90" t="s">
        <v>17</v>
      </c>
      <c r="AK90">
        <v>144813</v>
      </c>
      <c r="AL90">
        <v>0</v>
      </c>
      <c r="AM90">
        <v>142747</v>
      </c>
      <c r="AN90">
        <v>1216936</v>
      </c>
      <c r="AO90">
        <v>709964</v>
      </c>
      <c r="AP90">
        <v>662837</v>
      </c>
      <c r="AQ90">
        <v>144813.1875</v>
      </c>
      <c r="AR90">
        <v>0</v>
      </c>
      <c r="AS90">
        <v>142747.3125</v>
      </c>
      <c r="AT90">
        <v>1216935.9375</v>
      </c>
      <c r="AU90">
        <v>709963.8125</v>
      </c>
      <c r="AV90">
        <v>662837.3125</v>
      </c>
      <c r="AW90">
        <v>0</v>
      </c>
      <c r="AX90">
        <v>0</v>
      </c>
      <c r="AY90">
        <v>0</v>
      </c>
      <c r="AZ90">
        <v>0</v>
      </c>
      <c r="BA90">
        <v>0</v>
      </c>
      <c r="BB90">
        <v>0</v>
      </c>
    </row>
    <row r="91" spans="1:60" x14ac:dyDescent="0.55000000000000004">
      <c r="A91">
        <v>116</v>
      </c>
      <c r="B91">
        <v>2.6579999999999999</v>
      </c>
      <c r="C91">
        <v>614.34704999999997</v>
      </c>
      <c r="D91" t="s">
        <v>18</v>
      </c>
      <c r="E91" t="s">
        <v>1</v>
      </c>
      <c r="F91" t="s">
        <v>2</v>
      </c>
      <c r="G91">
        <v>0.67</v>
      </c>
      <c r="H91" t="b">
        <v>1</v>
      </c>
      <c r="I91">
        <v>6.0910000000000002</v>
      </c>
      <c r="J91">
        <v>614.34631000000002</v>
      </c>
      <c r="K91" t="s">
        <v>19</v>
      </c>
      <c r="L91" t="s">
        <v>13</v>
      </c>
      <c r="M91" t="s">
        <v>13</v>
      </c>
      <c r="N91" t="s">
        <v>20</v>
      </c>
      <c r="O91" t="s">
        <v>36</v>
      </c>
      <c r="P91">
        <v>410</v>
      </c>
      <c r="Q91" t="b">
        <v>0</v>
      </c>
      <c r="R91" t="b">
        <v>1</v>
      </c>
      <c r="S91" t="b">
        <v>1</v>
      </c>
      <c r="T91" t="s">
        <v>7</v>
      </c>
      <c r="U91" t="b">
        <v>0</v>
      </c>
      <c r="V91" t="b">
        <v>0</v>
      </c>
      <c r="W91">
        <v>116</v>
      </c>
      <c r="X91">
        <v>0</v>
      </c>
      <c r="Y91">
        <v>0</v>
      </c>
      <c r="Z91">
        <v>1</v>
      </c>
      <c r="AA91">
        <v>0.307</v>
      </c>
      <c r="AB91">
        <v>0.432</v>
      </c>
      <c r="AC91">
        <v>0.92</v>
      </c>
      <c r="AD91">
        <v>2</v>
      </c>
      <c r="AE91">
        <v>2</v>
      </c>
      <c r="AF91">
        <v>2.3370000000000002</v>
      </c>
      <c r="AG91">
        <v>425.49</v>
      </c>
      <c r="AH91" t="s">
        <v>22</v>
      </c>
      <c r="AI91" t="s">
        <v>23</v>
      </c>
      <c r="AJ91" t="s">
        <v>24</v>
      </c>
      <c r="AK91">
        <v>14460</v>
      </c>
      <c r="AL91">
        <v>0</v>
      </c>
      <c r="AM91">
        <v>107608</v>
      </c>
      <c r="AN91">
        <v>162812</v>
      </c>
      <c r="AO91">
        <v>82021</v>
      </c>
      <c r="AP91">
        <v>91092</v>
      </c>
      <c r="AQ91">
        <v>14460.5</v>
      </c>
      <c r="AR91">
        <v>0</v>
      </c>
      <c r="AS91">
        <v>107608.25</v>
      </c>
      <c r="AT91">
        <v>162811.75</v>
      </c>
      <c r="AU91">
        <v>82020.9375</v>
      </c>
      <c r="AV91">
        <v>91091.75</v>
      </c>
      <c r="AW91">
        <v>0</v>
      </c>
      <c r="AX91">
        <v>0</v>
      </c>
      <c r="AY91">
        <v>0</v>
      </c>
      <c r="AZ91">
        <v>0</v>
      </c>
      <c r="BA91">
        <v>0</v>
      </c>
      <c r="BB91">
        <v>0</v>
      </c>
    </row>
    <row r="92" spans="1:60" x14ac:dyDescent="0.55000000000000004">
      <c r="A92">
        <v>123</v>
      </c>
      <c r="B92">
        <v>3.012</v>
      </c>
      <c r="C92">
        <v>616.36217999999997</v>
      </c>
      <c r="D92" t="s">
        <v>25</v>
      </c>
      <c r="E92" t="s">
        <v>1</v>
      </c>
      <c r="F92" t="s">
        <v>2</v>
      </c>
      <c r="G92">
        <v>0.67</v>
      </c>
      <c r="H92" t="b">
        <v>1</v>
      </c>
      <c r="I92">
        <v>6.4249999999999998</v>
      </c>
      <c r="J92">
        <v>616.36199999999997</v>
      </c>
      <c r="K92" t="s">
        <v>26</v>
      </c>
      <c r="L92" t="s">
        <v>13</v>
      </c>
      <c r="M92" t="s">
        <v>13</v>
      </c>
      <c r="N92" t="s">
        <v>27</v>
      </c>
      <c r="O92" t="s">
        <v>42</v>
      </c>
      <c r="P92">
        <v>410</v>
      </c>
      <c r="Q92" t="b">
        <v>0</v>
      </c>
      <c r="R92" t="b">
        <v>1</v>
      </c>
      <c r="S92" t="b">
        <v>1</v>
      </c>
      <c r="T92" t="s">
        <v>7</v>
      </c>
      <c r="U92" t="b">
        <v>0</v>
      </c>
      <c r="V92" t="b">
        <v>0</v>
      </c>
      <c r="W92">
        <v>123</v>
      </c>
      <c r="X92">
        <v>0</v>
      </c>
      <c r="Y92">
        <v>0</v>
      </c>
      <c r="Z92">
        <v>1</v>
      </c>
      <c r="AA92">
        <v>0.61899999999999999</v>
      </c>
      <c r="AB92">
        <v>0.72199999999999998</v>
      </c>
      <c r="AC92">
        <v>0.96399999999999997</v>
      </c>
      <c r="AD92">
        <v>3</v>
      </c>
      <c r="AE92">
        <v>2</v>
      </c>
      <c r="AF92">
        <v>2.4860000000000002</v>
      </c>
      <c r="AG92">
        <v>492.08</v>
      </c>
      <c r="AH92" t="s">
        <v>22</v>
      </c>
      <c r="AI92" t="s">
        <v>29</v>
      </c>
      <c r="AJ92" t="s">
        <v>30</v>
      </c>
      <c r="AK92">
        <v>17969</v>
      </c>
      <c r="AL92">
        <v>0</v>
      </c>
      <c r="AM92">
        <v>91621</v>
      </c>
      <c r="AN92">
        <v>149155</v>
      </c>
      <c r="AO92">
        <v>89501</v>
      </c>
      <c r="AP92">
        <v>92867</v>
      </c>
      <c r="AQ92">
        <v>17968.625</v>
      </c>
      <c r="AR92">
        <v>0</v>
      </c>
      <c r="AS92">
        <v>91620.875</v>
      </c>
      <c r="AT92">
        <v>149155.1875</v>
      </c>
      <c r="AU92">
        <v>89501</v>
      </c>
      <c r="AV92">
        <v>92866.75</v>
      </c>
      <c r="AW92">
        <v>0</v>
      </c>
      <c r="AX92">
        <v>0</v>
      </c>
      <c r="AY92">
        <v>0</v>
      </c>
      <c r="AZ92">
        <v>0</v>
      </c>
      <c r="BA92">
        <v>0</v>
      </c>
      <c r="BB92">
        <v>0</v>
      </c>
    </row>
    <row r="93" spans="1:60" x14ac:dyDescent="0.55000000000000004">
      <c r="A93">
        <v>132</v>
      </c>
      <c r="B93">
        <v>1.756</v>
      </c>
      <c r="C93">
        <v>619.28943000000004</v>
      </c>
      <c r="D93" t="s">
        <v>31</v>
      </c>
      <c r="E93" t="s">
        <v>32</v>
      </c>
      <c r="F93" t="s">
        <v>2</v>
      </c>
      <c r="G93">
        <v>0.67</v>
      </c>
      <c r="H93" t="b">
        <v>1</v>
      </c>
      <c r="I93">
        <v>5.0570000000000004</v>
      </c>
      <c r="J93">
        <v>619.28887999999995</v>
      </c>
      <c r="K93" t="s">
        <v>33</v>
      </c>
      <c r="L93" t="s">
        <v>34</v>
      </c>
      <c r="N93" t="s">
        <v>35</v>
      </c>
      <c r="O93" t="s">
        <v>42</v>
      </c>
      <c r="P93">
        <v>410</v>
      </c>
      <c r="Q93" t="b">
        <v>0</v>
      </c>
      <c r="R93" t="b">
        <v>1</v>
      </c>
      <c r="S93" t="b">
        <v>1</v>
      </c>
      <c r="T93" t="s">
        <v>7</v>
      </c>
      <c r="U93" t="b">
        <v>0</v>
      </c>
      <c r="V93" t="b">
        <v>0</v>
      </c>
      <c r="W93">
        <v>132</v>
      </c>
      <c r="X93">
        <v>0</v>
      </c>
      <c r="Y93">
        <v>0</v>
      </c>
      <c r="Z93">
        <v>1</v>
      </c>
      <c r="AA93">
        <v>0.75600000000000001</v>
      </c>
      <c r="AB93">
        <v>0.82299999999999995</v>
      </c>
      <c r="AC93">
        <v>0.98799999999999999</v>
      </c>
      <c r="AD93">
        <v>6</v>
      </c>
      <c r="AE93">
        <v>2</v>
      </c>
      <c r="AF93">
        <v>2.5449999999999999</v>
      </c>
      <c r="AG93">
        <v>231.37</v>
      </c>
      <c r="AH93" t="s">
        <v>8</v>
      </c>
      <c r="AI93" t="s">
        <v>37</v>
      </c>
      <c r="AJ93" t="s">
        <v>38</v>
      </c>
      <c r="AK93">
        <v>21492</v>
      </c>
      <c r="AL93">
        <v>0</v>
      </c>
      <c r="AM93">
        <v>75343</v>
      </c>
      <c r="AN93">
        <v>174454</v>
      </c>
      <c r="AO93">
        <v>94541</v>
      </c>
      <c r="AP93">
        <v>93238</v>
      </c>
      <c r="AQ93">
        <v>21492.375</v>
      </c>
      <c r="AR93">
        <v>0</v>
      </c>
      <c r="AS93">
        <v>75343.25</v>
      </c>
      <c r="AT93">
        <v>174453.6875</v>
      </c>
      <c r="AU93">
        <v>94541.0625</v>
      </c>
      <c r="AV93">
        <v>93237.9375</v>
      </c>
      <c r="AW93">
        <v>0</v>
      </c>
      <c r="AX93">
        <v>0</v>
      </c>
      <c r="AY93">
        <v>0</v>
      </c>
      <c r="AZ93">
        <v>0</v>
      </c>
      <c r="BA93">
        <v>0</v>
      </c>
      <c r="BB93">
        <v>0</v>
      </c>
    </row>
    <row r="94" spans="1:60" x14ac:dyDescent="0.55000000000000004">
      <c r="A94">
        <v>137</v>
      </c>
      <c r="B94">
        <v>17.538</v>
      </c>
      <c r="C94">
        <v>620.59966999999995</v>
      </c>
      <c r="D94" t="s">
        <v>39</v>
      </c>
      <c r="E94" t="s">
        <v>32</v>
      </c>
      <c r="F94" t="s">
        <v>2</v>
      </c>
      <c r="G94">
        <v>0.83</v>
      </c>
      <c r="H94" t="b">
        <v>1</v>
      </c>
      <c r="I94">
        <v>12.988</v>
      </c>
      <c r="J94">
        <v>620.59869000000003</v>
      </c>
      <c r="K94" t="s">
        <v>40</v>
      </c>
      <c r="L94" t="s">
        <v>4</v>
      </c>
      <c r="N94" t="s">
        <v>41</v>
      </c>
      <c r="O94" t="s">
        <v>51</v>
      </c>
      <c r="P94">
        <v>410</v>
      </c>
      <c r="Q94" t="b">
        <v>0</v>
      </c>
      <c r="R94" t="b">
        <v>1</v>
      </c>
      <c r="S94" t="b">
        <v>1</v>
      </c>
      <c r="T94" t="s">
        <v>7</v>
      </c>
      <c r="U94" t="b">
        <v>0</v>
      </c>
      <c r="V94" t="b">
        <v>0</v>
      </c>
      <c r="W94">
        <v>137</v>
      </c>
      <c r="X94">
        <v>0</v>
      </c>
      <c r="Y94">
        <v>0</v>
      </c>
      <c r="Z94">
        <v>0.99</v>
      </c>
      <c r="AA94">
        <v>0.77200000000000002</v>
      </c>
      <c r="AB94">
        <v>0.83799999999999997</v>
      </c>
      <c r="AC94">
        <v>0.97199999999999998</v>
      </c>
      <c r="AD94">
        <v>10</v>
      </c>
      <c r="AE94">
        <v>2</v>
      </c>
      <c r="AF94">
        <v>2.544</v>
      </c>
      <c r="AG94">
        <v>2005.84</v>
      </c>
      <c r="AH94" t="s">
        <v>8</v>
      </c>
      <c r="AI94" t="s">
        <v>43</v>
      </c>
      <c r="AJ94" t="s">
        <v>44</v>
      </c>
      <c r="AK94">
        <v>32281</v>
      </c>
      <c r="AL94">
        <v>0</v>
      </c>
      <c r="AM94">
        <v>127552</v>
      </c>
      <c r="AN94">
        <v>289205</v>
      </c>
      <c r="AO94">
        <v>205619</v>
      </c>
      <c r="AP94">
        <v>164052</v>
      </c>
      <c r="AQ94">
        <v>32280.9375</v>
      </c>
      <c r="AR94">
        <v>0</v>
      </c>
      <c r="AS94">
        <v>127551.8125</v>
      </c>
      <c r="AT94">
        <v>289205</v>
      </c>
      <c r="AU94">
        <v>205619.25</v>
      </c>
      <c r="AV94">
        <v>164052.25</v>
      </c>
      <c r="AW94">
        <v>0</v>
      </c>
      <c r="AX94">
        <v>0</v>
      </c>
      <c r="AY94">
        <v>0</v>
      </c>
      <c r="AZ94">
        <v>0</v>
      </c>
      <c r="BA94">
        <v>0</v>
      </c>
      <c r="BB94">
        <v>0</v>
      </c>
    </row>
    <row r="95" spans="1:60" x14ac:dyDescent="0.55000000000000004">
      <c r="A95">
        <v>138</v>
      </c>
      <c r="B95">
        <v>16.882000000000001</v>
      </c>
      <c r="C95">
        <v>620.59978999999998</v>
      </c>
      <c r="D95" t="s">
        <v>39</v>
      </c>
      <c r="E95" t="s">
        <v>32</v>
      </c>
      <c r="F95" t="s">
        <v>2</v>
      </c>
      <c r="G95">
        <v>0.17</v>
      </c>
      <c r="H95" t="b">
        <v>1</v>
      </c>
      <c r="I95">
        <v>12.988</v>
      </c>
      <c r="J95">
        <v>620.59869000000003</v>
      </c>
      <c r="K95" t="s">
        <v>40</v>
      </c>
      <c r="L95" t="s">
        <v>4</v>
      </c>
      <c r="N95" t="s">
        <v>41</v>
      </c>
      <c r="O95" t="s">
        <v>57</v>
      </c>
      <c r="P95">
        <v>410</v>
      </c>
      <c r="Q95" t="b">
        <v>0</v>
      </c>
      <c r="R95" t="b">
        <v>1</v>
      </c>
      <c r="S95" t="b">
        <v>1</v>
      </c>
      <c r="T95" t="s">
        <v>7</v>
      </c>
      <c r="U95" t="b">
        <v>0</v>
      </c>
      <c r="V95" t="b">
        <v>0</v>
      </c>
      <c r="W95">
        <v>138</v>
      </c>
      <c r="X95">
        <v>0</v>
      </c>
      <c r="Y95">
        <v>0</v>
      </c>
      <c r="Z95">
        <v>0.98</v>
      </c>
      <c r="AA95">
        <v>0.61399999999999999</v>
      </c>
      <c r="AB95">
        <v>0.75</v>
      </c>
      <c r="AC95">
        <v>0.97399999999999998</v>
      </c>
      <c r="AD95">
        <v>10</v>
      </c>
      <c r="AE95">
        <v>2</v>
      </c>
      <c r="AF95">
        <v>2.488</v>
      </c>
      <c r="AG95">
        <v>131.62</v>
      </c>
      <c r="AH95" t="s">
        <v>45</v>
      </c>
      <c r="AI95" t="s">
        <v>46</v>
      </c>
      <c r="AJ95" t="s">
        <v>47</v>
      </c>
      <c r="AK95">
        <v>0</v>
      </c>
      <c r="AL95">
        <v>0</v>
      </c>
      <c r="AM95">
        <v>13953</v>
      </c>
      <c r="AN95">
        <v>33445</v>
      </c>
      <c r="AO95">
        <v>18210</v>
      </c>
      <c r="AP95">
        <v>17441</v>
      </c>
      <c r="AQ95">
        <v>0</v>
      </c>
      <c r="AR95">
        <v>0</v>
      </c>
      <c r="AS95">
        <v>13953.4375</v>
      </c>
      <c r="AT95">
        <v>33445</v>
      </c>
      <c r="AU95">
        <v>18209.5</v>
      </c>
      <c r="AV95">
        <v>17441</v>
      </c>
      <c r="AW95">
        <v>0</v>
      </c>
      <c r="AX95">
        <v>0</v>
      </c>
      <c r="AY95">
        <v>0</v>
      </c>
      <c r="AZ95">
        <v>0</v>
      </c>
      <c r="BA95">
        <v>0</v>
      </c>
      <c r="BB95">
        <v>0</v>
      </c>
    </row>
    <row r="96" spans="1:60" x14ac:dyDescent="0.55000000000000004">
      <c r="A96">
        <v>142</v>
      </c>
      <c r="B96">
        <v>2.028</v>
      </c>
      <c r="C96">
        <v>621.30487000000005</v>
      </c>
      <c r="D96" t="s">
        <v>48</v>
      </c>
      <c r="E96" t="s">
        <v>32</v>
      </c>
      <c r="F96" t="s">
        <v>2</v>
      </c>
      <c r="G96">
        <v>0.17</v>
      </c>
      <c r="H96" t="b">
        <v>1</v>
      </c>
      <c r="I96">
        <v>5.5140000000000002</v>
      </c>
      <c r="J96">
        <v>621.30449999999996</v>
      </c>
      <c r="K96" t="s">
        <v>49</v>
      </c>
      <c r="L96" t="s">
        <v>34</v>
      </c>
      <c r="N96" t="s">
        <v>50</v>
      </c>
      <c r="O96" t="s">
        <v>63</v>
      </c>
      <c r="P96">
        <v>410</v>
      </c>
      <c r="Q96" t="b">
        <v>0</v>
      </c>
      <c r="R96" t="b">
        <v>1</v>
      </c>
      <c r="S96" t="b">
        <v>1</v>
      </c>
      <c r="T96" t="s">
        <v>7</v>
      </c>
      <c r="U96" t="b">
        <v>0</v>
      </c>
      <c r="V96" t="b">
        <v>0</v>
      </c>
      <c r="W96">
        <v>142</v>
      </c>
      <c r="X96">
        <v>0</v>
      </c>
      <c r="Y96">
        <v>0</v>
      </c>
      <c r="Z96">
        <v>1</v>
      </c>
      <c r="AA96">
        <v>0.58099999999999996</v>
      </c>
      <c r="AB96">
        <v>0.70199999999999996</v>
      </c>
      <c r="AC96">
        <v>0.98499999999999999</v>
      </c>
      <c r="AD96">
        <v>6</v>
      </c>
      <c r="AE96">
        <v>2</v>
      </c>
      <c r="AF96">
        <v>2.4820000000000002</v>
      </c>
      <c r="AG96">
        <v>52.73</v>
      </c>
      <c r="AH96" t="s">
        <v>45</v>
      </c>
      <c r="AI96" t="s">
        <v>52</v>
      </c>
      <c r="AJ96" t="s">
        <v>53</v>
      </c>
      <c r="AK96">
        <v>0</v>
      </c>
      <c r="AL96">
        <v>0</v>
      </c>
      <c r="AM96">
        <v>12835</v>
      </c>
      <c r="AN96">
        <v>29675</v>
      </c>
      <c r="AO96">
        <v>17838</v>
      </c>
      <c r="AP96">
        <v>17760</v>
      </c>
      <c r="AQ96">
        <v>0</v>
      </c>
      <c r="AR96">
        <v>0</v>
      </c>
      <c r="AS96">
        <v>12835</v>
      </c>
      <c r="AT96">
        <v>29674.8125</v>
      </c>
      <c r="AU96">
        <v>17837.875</v>
      </c>
      <c r="AV96">
        <v>17760.0625</v>
      </c>
      <c r="AW96">
        <v>0</v>
      </c>
      <c r="AX96">
        <v>0</v>
      </c>
      <c r="AY96">
        <v>0</v>
      </c>
      <c r="AZ96">
        <v>0</v>
      </c>
      <c r="BA96">
        <v>0</v>
      </c>
      <c r="BB96">
        <v>0</v>
      </c>
    </row>
    <row r="97" spans="1:54" x14ac:dyDescent="0.55000000000000004">
      <c r="A97">
        <v>159</v>
      </c>
      <c r="B97">
        <v>8.4619999999999997</v>
      </c>
      <c r="C97">
        <v>624.42565999999999</v>
      </c>
      <c r="D97" t="s">
        <v>54</v>
      </c>
      <c r="E97" t="s">
        <v>1</v>
      </c>
      <c r="F97" t="s">
        <v>2</v>
      </c>
      <c r="G97">
        <v>0.17</v>
      </c>
      <c r="H97" t="b">
        <v>1</v>
      </c>
      <c r="I97">
        <v>7.7089999999999996</v>
      </c>
      <c r="J97">
        <v>624.42462</v>
      </c>
      <c r="K97" t="s">
        <v>55</v>
      </c>
      <c r="L97" t="s">
        <v>13</v>
      </c>
      <c r="M97" t="s">
        <v>13</v>
      </c>
      <c r="N97" t="s">
        <v>56</v>
      </c>
      <c r="O97" t="s">
        <v>70</v>
      </c>
      <c r="P97">
        <v>410</v>
      </c>
      <c r="Q97" t="b">
        <v>0</v>
      </c>
      <c r="R97" t="b">
        <v>1</v>
      </c>
      <c r="S97" t="b">
        <v>1</v>
      </c>
      <c r="T97" t="s">
        <v>7</v>
      </c>
      <c r="U97" t="b">
        <v>0</v>
      </c>
      <c r="V97" t="b">
        <v>0</v>
      </c>
      <c r="W97">
        <v>159</v>
      </c>
      <c r="X97">
        <v>0</v>
      </c>
      <c r="Y97">
        <v>0</v>
      </c>
      <c r="Z97">
        <v>0.99</v>
      </c>
      <c r="AA97">
        <v>0.60299999999999998</v>
      </c>
      <c r="AB97">
        <v>0.69799999999999995</v>
      </c>
      <c r="AC97">
        <v>0.96399999999999997</v>
      </c>
      <c r="AD97">
        <v>3</v>
      </c>
      <c r="AE97">
        <v>2</v>
      </c>
      <c r="AF97">
        <v>2.4710000000000001</v>
      </c>
      <c r="AG97">
        <v>147.31</v>
      </c>
      <c r="AH97" t="s">
        <v>45</v>
      </c>
      <c r="AI97" t="s">
        <v>58</v>
      </c>
      <c r="AJ97" t="s">
        <v>59</v>
      </c>
      <c r="AK97">
        <v>3176</v>
      </c>
      <c r="AL97">
        <v>0</v>
      </c>
      <c r="AM97">
        <v>16900</v>
      </c>
      <c r="AN97">
        <v>36212</v>
      </c>
      <c r="AO97">
        <v>17975</v>
      </c>
      <c r="AP97">
        <v>19350</v>
      </c>
      <c r="AQ97">
        <v>3175.625</v>
      </c>
      <c r="AR97">
        <v>0</v>
      </c>
      <c r="AS97">
        <v>16900.0625</v>
      </c>
      <c r="AT97">
        <v>36212.375</v>
      </c>
      <c r="AU97">
        <v>17974.875</v>
      </c>
      <c r="AV97">
        <v>19350.4375</v>
      </c>
      <c r="AW97">
        <v>0</v>
      </c>
      <c r="AX97">
        <v>0</v>
      </c>
      <c r="AY97">
        <v>0</v>
      </c>
      <c r="AZ97">
        <v>0</v>
      </c>
      <c r="BA97">
        <v>0</v>
      </c>
      <c r="BB97">
        <v>0</v>
      </c>
    </row>
    <row r="98" spans="1:54" x14ac:dyDescent="0.55000000000000004">
      <c r="A98">
        <v>212</v>
      </c>
      <c r="B98">
        <v>17.908000000000001</v>
      </c>
      <c r="C98">
        <v>634.61536000000001</v>
      </c>
      <c r="D98" t="s">
        <v>60</v>
      </c>
      <c r="E98" t="s">
        <v>32</v>
      </c>
      <c r="F98" t="s">
        <v>2</v>
      </c>
      <c r="G98">
        <v>0.83</v>
      </c>
      <c r="H98" t="b">
        <v>1</v>
      </c>
      <c r="I98">
        <v>13.141999999999999</v>
      </c>
      <c r="J98">
        <v>634.61437999999998</v>
      </c>
      <c r="K98" t="s">
        <v>61</v>
      </c>
      <c r="L98" t="s">
        <v>4</v>
      </c>
      <c r="N98" t="s">
        <v>62</v>
      </c>
      <c r="O98" t="s">
        <v>76</v>
      </c>
      <c r="P98">
        <v>410</v>
      </c>
      <c r="Q98" t="b">
        <v>0</v>
      </c>
      <c r="R98" t="b">
        <v>1</v>
      </c>
      <c r="S98" t="b">
        <v>1</v>
      </c>
      <c r="T98" t="s">
        <v>7</v>
      </c>
      <c r="U98" t="b">
        <v>0</v>
      </c>
      <c r="V98" t="b">
        <v>0</v>
      </c>
      <c r="W98">
        <v>212</v>
      </c>
      <c r="X98">
        <v>0</v>
      </c>
      <c r="Y98">
        <v>0</v>
      </c>
      <c r="Z98">
        <v>0.99</v>
      </c>
      <c r="AA98">
        <v>0.74299999999999999</v>
      </c>
      <c r="AB98">
        <v>0.82299999999999995</v>
      </c>
      <c r="AC98">
        <v>0.96199999999999997</v>
      </c>
      <c r="AD98">
        <v>10</v>
      </c>
      <c r="AE98">
        <v>2</v>
      </c>
      <c r="AF98">
        <v>2.5270000000000001</v>
      </c>
      <c r="AG98">
        <v>1150.3399999999999</v>
      </c>
      <c r="AH98" t="s">
        <v>8</v>
      </c>
      <c r="AI98" t="s">
        <v>64</v>
      </c>
      <c r="AJ98" t="s">
        <v>65</v>
      </c>
      <c r="AK98">
        <v>28201</v>
      </c>
      <c r="AL98">
        <v>0</v>
      </c>
      <c r="AM98">
        <v>108503</v>
      </c>
      <c r="AN98">
        <v>273734</v>
      </c>
      <c r="AO98">
        <v>174957</v>
      </c>
      <c r="AP98">
        <v>146684</v>
      </c>
      <c r="AQ98">
        <v>28201.25</v>
      </c>
      <c r="AR98">
        <v>0</v>
      </c>
      <c r="AS98">
        <v>108502.9375</v>
      </c>
      <c r="AT98">
        <v>273733.9375</v>
      </c>
      <c r="AU98">
        <v>174957.25</v>
      </c>
      <c r="AV98">
        <v>146684.25</v>
      </c>
      <c r="AW98">
        <v>0</v>
      </c>
      <c r="AX98">
        <v>0</v>
      </c>
      <c r="AY98">
        <v>0</v>
      </c>
      <c r="AZ98">
        <v>0</v>
      </c>
      <c r="BA98">
        <v>0</v>
      </c>
      <c r="BB98">
        <v>0</v>
      </c>
    </row>
    <row r="99" spans="1:54" x14ac:dyDescent="0.55000000000000004">
      <c r="A99">
        <v>225</v>
      </c>
      <c r="B99">
        <v>18.131</v>
      </c>
      <c r="C99">
        <v>636.63165000000004</v>
      </c>
      <c r="D99" t="s">
        <v>66</v>
      </c>
      <c r="E99" t="s">
        <v>32</v>
      </c>
      <c r="F99" t="s">
        <v>2</v>
      </c>
      <c r="G99">
        <v>0.17</v>
      </c>
      <c r="H99" t="b">
        <v>1</v>
      </c>
      <c r="I99">
        <v>13.257</v>
      </c>
      <c r="J99">
        <v>636.63</v>
      </c>
      <c r="K99" t="s">
        <v>67</v>
      </c>
      <c r="L99" t="s">
        <v>68</v>
      </c>
      <c r="N99" t="s">
        <v>69</v>
      </c>
      <c r="O99" t="s">
        <v>82</v>
      </c>
      <c r="P99">
        <v>410</v>
      </c>
      <c r="Q99" t="b">
        <v>0</v>
      </c>
      <c r="R99" t="b">
        <v>1</v>
      </c>
      <c r="S99" t="b">
        <v>1</v>
      </c>
      <c r="T99" t="s">
        <v>7</v>
      </c>
      <c r="U99" t="b">
        <v>0</v>
      </c>
      <c r="V99" t="b">
        <v>0</v>
      </c>
      <c r="W99">
        <v>225</v>
      </c>
      <c r="X99">
        <v>0</v>
      </c>
      <c r="Y99">
        <v>0</v>
      </c>
      <c r="Z99">
        <v>0.97</v>
      </c>
      <c r="AA99">
        <v>0.44500000000000001</v>
      </c>
      <c r="AB99">
        <v>0.65900000000000003</v>
      </c>
      <c r="AC99">
        <v>0.91100000000000003</v>
      </c>
      <c r="AD99">
        <v>6</v>
      </c>
      <c r="AE99">
        <v>2</v>
      </c>
      <c r="AF99">
        <v>2.3959999999999999</v>
      </c>
      <c r="AG99">
        <v>109.01</v>
      </c>
      <c r="AH99" t="s">
        <v>45</v>
      </c>
      <c r="AI99" t="s">
        <v>71</v>
      </c>
      <c r="AJ99" t="s">
        <v>72</v>
      </c>
      <c r="AK99">
        <v>0</v>
      </c>
      <c r="AL99">
        <v>0</v>
      </c>
      <c r="AM99">
        <v>10576</v>
      </c>
      <c r="AN99">
        <v>27424</v>
      </c>
      <c r="AO99">
        <v>16077</v>
      </c>
      <c r="AP99">
        <v>15113</v>
      </c>
      <c r="AQ99">
        <v>0</v>
      </c>
      <c r="AR99">
        <v>0</v>
      </c>
      <c r="AS99">
        <v>10576.25</v>
      </c>
      <c r="AT99">
        <v>27424.375</v>
      </c>
      <c r="AU99">
        <v>16077.3125</v>
      </c>
      <c r="AV99">
        <v>15113.125</v>
      </c>
      <c r="AW99">
        <v>0</v>
      </c>
      <c r="AX99">
        <v>0</v>
      </c>
      <c r="AY99">
        <v>0</v>
      </c>
      <c r="AZ99">
        <v>0</v>
      </c>
      <c r="BA99">
        <v>0</v>
      </c>
      <c r="BB99">
        <v>0</v>
      </c>
    </row>
    <row r="100" spans="1:54" x14ac:dyDescent="0.55000000000000004">
      <c r="A100">
        <v>254</v>
      </c>
      <c r="B100">
        <v>16.664999999999999</v>
      </c>
      <c r="C100">
        <v>644.59948999999995</v>
      </c>
      <c r="D100" t="s">
        <v>73</v>
      </c>
      <c r="E100" t="s">
        <v>32</v>
      </c>
      <c r="F100" t="s">
        <v>2</v>
      </c>
      <c r="G100">
        <v>0.67</v>
      </c>
      <c r="H100" t="b">
        <v>1</v>
      </c>
      <c r="I100">
        <v>12.45</v>
      </c>
      <c r="J100">
        <v>644.59869000000003</v>
      </c>
      <c r="K100" t="s">
        <v>74</v>
      </c>
      <c r="L100" t="s">
        <v>4</v>
      </c>
      <c r="N100" t="s">
        <v>75</v>
      </c>
      <c r="O100" t="s">
        <v>88</v>
      </c>
      <c r="P100">
        <v>410</v>
      </c>
      <c r="Q100" t="b">
        <v>0</v>
      </c>
      <c r="R100" t="b">
        <v>1</v>
      </c>
      <c r="S100" t="b">
        <v>1</v>
      </c>
      <c r="T100" t="s">
        <v>7</v>
      </c>
      <c r="U100" t="b">
        <v>0</v>
      </c>
      <c r="V100" t="b">
        <v>0</v>
      </c>
      <c r="W100">
        <v>254</v>
      </c>
      <c r="X100">
        <v>0</v>
      </c>
      <c r="Y100">
        <v>0</v>
      </c>
      <c r="Z100">
        <v>1</v>
      </c>
      <c r="AA100">
        <v>0.53100000000000003</v>
      </c>
      <c r="AB100">
        <v>0.66800000000000004</v>
      </c>
      <c r="AC100">
        <v>0.94099999999999995</v>
      </c>
      <c r="AD100">
        <v>9</v>
      </c>
      <c r="AE100">
        <v>2</v>
      </c>
      <c r="AF100">
        <v>2.4449999999999998</v>
      </c>
      <c r="AG100">
        <v>525.4</v>
      </c>
      <c r="AH100" t="s">
        <v>8</v>
      </c>
      <c r="AI100" t="s">
        <v>77</v>
      </c>
      <c r="AJ100" t="s">
        <v>78</v>
      </c>
      <c r="AK100">
        <v>6900</v>
      </c>
      <c r="AL100">
        <v>0</v>
      </c>
      <c r="AM100">
        <v>32478</v>
      </c>
      <c r="AN100">
        <v>74627</v>
      </c>
      <c r="AO100">
        <v>51480</v>
      </c>
      <c r="AP100">
        <v>42550</v>
      </c>
      <c r="AQ100">
        <v>6899.5</v>
      </c>
      <c r="AR100">
        <v>0</v>
      </c>
      <c r="AS100">
        <v>32477.6875</v>
      </c>
      <c r="AT100">
        <v>74626.75</v>
      </c>
      <c r="AU100">
        <v>51479.625</v>
      </c>
      <c r="AV100">
        <v>42550.125</v>
      </c>
      <c r="AW100">
        <v>0</v>
      </c>
      <c r="AX100">
        <v>0</v>
      </c>
      <c r="AY100">
        <v>0</v>
      </c>
      <c r="AZ100">
        <v>0</v>
      </c>
      <c r="BA100">
        <v>0</v>
      </c>
      <c r="BB100">
        <v>0</v>
      </c>
    </row>
    <row r="101" spans="1:54" x14ac:dyDescent="0.55000000000000004">
      <c r="A101">
        <v>259</v>
      </c>
      <c r="B101">
        <v>17.448</v>
      </c>
      <c r="C101">
        <v>646.61541999999997</v>
      </c>
      <c r="D101" t="s">
        <v>79</v>
      </c>
      <c r="E101" t="s">
        <v>32</v>
      </c>
      <c r="F101" t="s">
        <v>2</v>
      </c>
      <c r="G101">
        <v>0.67</v>
      </c>
      <c r="H101" t="b">
        <v>1</v>
      </c>
      <c r="I101">
        <v>12.958</v>
      </c>
      <c r="J101">
        <v>646.61437999999998</v>
      </c>
      <c r="K101" t="s">
        <v>80</v>
      </c>
      <c r="L101" t="s">
        <v>4</v>
      </c>
      <c r="N101" t="s">
        <v>81</v>
      </c>
      <c r="O101" t="s">
        <v>95</v>
      </c>
      <c r="P101">
        <v>410</v>
      </c>
      <c r="Q101" t="b">
        <v>0</v>
      </c>
      <c r="R101" t="b">
        <v>1</v>
      </c>
      <c r="S101" t="b">
        <v>1</v>
      </c>
      <c r="T101" t="s">
        <v>7</v>
      </c>
      <c r="U101" t="b">
        <v>0</v>
      </c>
      <c r="V101" t="b">
        <v>0</v>
      </c>
      <c r="W101">
        <v>259</v>
      </c>
      <c r="X101">
        <v>0</v>
      </c>
      <c r="Y101">
        <v>0</v>
      </c>
      <c r="Z101">
        <v>1</v>
      </c>
      <c r="AA101">
        <v>0.83799999999999997</v>
      </c>
      <c r="AB101">
        <v>0.89600000000000002</v>
      </c>
      <c r="AC101">
        <v>0.95499999999999996</v>
      </c>
      <c r="AD101">
        <v>10</v>
      </c>
      <c r="AE101">
        <v>2</v>
      </c>
      <c r="AF101">
        <v>2.5649999999999999</v>
      </c>
      <c r="AG101">
        <v>1841</v>
      </c>
      <c r="AH101" t="s">
        <v>8</v>
      </c>
      <c r="AI101" t="s">
        <v>83</v>
      </c>
      <c r="AJ101" t="s">
        <v>84</v>
      </c>
      <c r="AK101">
        <v>27906</v>
      </c>
      <c r="AL101">
        <v>0</v>
      </c>
      <c r="AM101">
        <v>140783</v>
      </c>
      <c r="AN101">
        <v>355086</v>
      </c>
      <c r="AO101">
        <v>200424</v>
      </c>
      <c r="AP101">
        <v>199527</v>
      </c>
      <c r="AQ101">
        <v>27906.5</v>
      </c>
      <c r="AR101">
        <v>0</v>
      </c>
      <c r="AS101">
        <v>140782.9375</v>
      </c>
      <c r="AT101">
        <v>355086.1875</v>
      </c>
      <c r="AU101">
        <v>200424.25</v>
      </c>
      <c r="AV101">
        <v>199526.8125</v>
      </c>
      <c r="AW101">
        <v>0</v>
      </c>
      <c r="AX101">
        <v>0</v>
      </c>
      <c r="AY101">
        <v>0</v>
      </c>
      <c r="AZ101">
        <v>0</v>
      </c>
      <c r="BA101">
        <v>0</v>
      </c>
      <c r="BB101">
        <v>0</v>
      </c>
    </row>
    <row r="102" spans="1:54" x14ac:dyDescent="0.55000000000000004">
      <c r="A102">
        <v>276</v>
      </c>
      <c r="B102">
        <v>18.251000000000001</v>
      </c>
      <c r="C102">
        <v>648.63080000000002</v>
      </c>
      <c r="D102" t="s">
        <v>85</v>
      </c>
      <c r="E102" t="s">
        <v>32</v>
      </c>
      <c r="F102" t="s">
        <v>2</v>
      </c>
      <c r="G102">
        <v>0.83</v>
      </c>
      <c r="H102" t="b">
        <v>1</v>
      </c>
      <c r="I102">
        <v>13.276</v>
      </c>
      <c r="J102">
        <v>648.63</v>
      </c>
      <c r="K102" t="s">
        <v>86</v>
      </c>
      <c r="L102" t="s">
        <v>4</v>
      </c>
      <c r="N102" t="s">
        <v>87</v>
      </c>
      <c r="O102" t="s">
        <v>101</v>
      </c>
      <c r="P102">
        <v>410</v>
      </c>
      <c r="Q102" t="b">
        <v>0</v>
      </c>
      <c r="R102" t="b">
        <v>1</v>
      </c>
      <c r="S102" t="b">
        <v>1</v>
      </c>
      <c r="T102" t="s">
        <v>7</v>
      </c>
      <c r="U102" t="b">
        <v>0</v>
      </c>
      <c r="V102" t="b">
        <v>0</v>
      </c>
      <c r="W102">
        <v>276</v>
      </c>
      <c r="X102">
        <v>0</v>
      </c>
      <c r="Y102">
        <v>0</v>
      </c>
      <c r="Z102">
        <v>1</v>
      </c>
      <c r="AA102">
        <v>0.754</v>
      </c>
      <c r="AB102">
        <v>0.83899999999999997</v>
      </c>
      <c r="AC102">
        <v>0.95099999999999996</v>
      </c>
      <c r="AD102">
        <v>10</v>
      </c>
      <c r="AE102">
        <v>2</v>
      </c>
      <c r="AF102">
        <v>2.5339999999999998</v>
      </c>
      <c r="AG102">
        <v>6103.91</v>
      </c>
      <c r="AH102" t="s">
        <v>89</v>
      </c>
      <c r="AI102" t="s">
        <v>90</v>
      </c>
      <c r="AJ102" t="s">
        <v>91</v>
      </c>
      <c r="AK102">
        <v>78978</v>
      </c>
      <c r="AL102">
        <v>0</v>
      </c>
      <c r="AM102">
        <v>369715</v>
      </c>
      <c r="AN102">
        <v>1008770</v>
      </c>
      <c r="AO102">
        <v>671052</v>
      </c>
      <c r="AP102">
        <v>528824</v>
      </c>
      <c r="AQ102">
        <v>78978</v>
      </c>
      <c r="AR102">
        <v>0</v>
      </c>
      <c r="AS102">
        <v>369714.6875</v>
      </c>
      <c r="AT102">
        <v>1008770.5</v>
      </c>
      <c r="AU102">
        <v>671051.5625</v>
      </c>
      <c r="AV102">
        <v>528824.5</v>
      </c>
      <c r="AW102">
        <v>0</v>
      </c>
      <c r="AX102">
        <v>0</v>
      </c>
      <c r="AY102">
        <v>0</v>
      </c>
      <c r="AZ102">
        <v>0</v>
      </c>
      <c r="BA102">
        <v>0</v>
      </c>
      <c r="BB102">
        <v>0</v>
      </c>
    </row>
    <row r="103" spans="1:54" x14ac:dyDescent="0.55000000000000004">
      <c r="A103">
        <v>286</v>
      </c>
      <c r="B103">
        <v>18.472000000000001</v>
      </c>
      <c r="C103">
        <v>650.64746000000002</v>
      </c>
      <c r="D103" t="s">
        <v>92</v>
      </c>
      <c r="E103" t="s">
        <v>32</v>
      </c>
      <c r="F103" t="s">
        <v>2</v>
      </c>
      <c r="G103">
        <v>0.67</v>
      </c>
      <c r="H103" t="b">
        <v>1</v>
      </c>
      <c r="I103">
        <v>13.361000000000001</v>
      </c>
      <c r="J103">
        <v>650.64568999999995</v>
      </c>
      <c r="K103" t="s">
        <v>93</v>
      </c>
      <c r="L103" t="s">
        <v>68</v>
      </c>
      <c r="N103" t="s">
        <v>94</v>
      </c>
      <c r="O103" t="s">
        <v>107</v>
      </c>
      <c r="P103">
        <v>410</v>
      </c>
      <c r="Q103" t="b">
        <v>0</v>
      </c>
      <c r="R103" t="b">
        <v>1</v>
      </c>
      <c r="S103" t="b">
        <v>1</v>
      </c>
      <c r="T103" t="s">
        <v>7</v>
      </c>
      <c r="U103" t="b">
        <v>0</v>
      </c>
      <c r="V103" t="b">
        <v>0</v>
      </c>
      <c r="W103">
        <v>286</v>
      </c>
      <c r="X103">
        <v>0</v>
      </c>
      <c r="Y103">
        <v>0</v>
      </c>
      <c r="Z103">
        <v>0.98</v>
      </c>
      <c r="AA103">
        <v>0.48299999999999998</v>
      </c>
      <c r="AB103">
        <v>0.68100000000000005</v>
      </c>
      <c r="AC103">
        <v>0.92800000000000005</v>
      </c>
      <c r="AD103">
        <v>7</v>
      </c>
      <c r="AE103">
        <v>2</v>
      </c>
      <c r="AF103">
        <v>2.423</v>
      </c>
      <c r="AG103">
        <v>142.83000000000001</v>
      </c>
      <c r="AH103" t="s">
        <v>8</v>
      </c>
      <c r="AI103" t="s">
        <v>96</v>
      </c>
      <c r="AJ103" t="s">
        <v>97</v>
      </c>
      <c r="AK103">
        <v>0</v>
      </c>
      <c r="AL103">
        <v>3418</v>
      </c>
      <c r="AM103">
        <v>21876</v>
      </c>
      <c r="AN103">
        <v>57734</v>
      </c>
      <c r="AO103">
        <v>31588</v>
      </c>
      <c r="AP103">
        <v>28179</v>
      </c>
      <c r="AQ103">
        <v>0</v>
      </c>
      <c r="AR103">
        <v>3418.5</v>
      </c>
      <c r="AS103">
        <v>21876.4375</v>
      </c>
      <c r="AT103">
        <v>57734.25</v>
      </c>
      <c r="AU103">
        <v>31588.5</v>
      </c>
      <c r="AV103">
        <v>28179.125</v>
      </c>
      <c r="AW103">
        <v>0</v>
      </c>
      <c r="AX103">
        <v>0</v>
      </c>
      <c r="AY103">
        <v>0</v>
      </c>
      <c r="AZ103">
        <v>0</v>
      </c>
      <c r="BA103">
        <v>0</v>
      </c>
      <c r="BB103">
        <v>0</v>
      </c>
    </row>
    <row r="104" spans="1:54" x14ac:dyDescent="0.55000000000000004">
      <c r="A104">
        <v>294</v>
      </c>
      <c r="B104">
        <v>10.824999999999999</v>
      </c>
      <c r="C104">
        <v>652.45685000000003</v>
      </c>
      <c r="D104" t="s">
        <v>98</v>
      </c>
      <c r="E104" t="s">
        <v>1</v>
      </c>
      <c r="F104" t="s">
        <v>2</v>
      </c>
      <c r="G104">
        <v>0.67</v>
      </c>
      <c r="H104" t="b">
        <v>1</v>
      </c>
      <c r="I104">
        <v>8.125</v>
      </c>
      <c r="J104">
        <v>652.45587</v>
      </c>
      <c r="K104" t="s">
        <v>99</v>
      </c>
      <c r="L104" t="s">
        <v>13</v>
      </c>
      <c r="M104" t="s">
        <v>13</v>
      </c>
      <c r="N104" t="s">
        <v>100</v>
      </c>
      <c r="O104" t="s">
        <v>42</v>
      </c>
      <c r="P104">
        <v>410</v>
      </c>
      <c r="Q104" t="b">
        <v>0</v>
      </c>
      <c r="R104" t="b">
        <v>1</v>
      </c>
      <c r="S104" t="b">
        <v>1</v>
      </c>
      <c r="T104" t="s">
        <v>7</v>
      </c>
      <c r="U104" t="b">
        <v>0</v>
      </c>
      <c r="V104" t="b">
        <v>0</v>
      </c>
      <c r="W104">
        <v>294</v>
      </c>
      <c r="X104">
        <v>0</v>
      </c>
      <c r="Y104">
        <v>0</v>
      </c>
      <c r="Z104">
        <v>1</v>
      </c>
      <c r="AA104">
        <v>0.61499999999999999</v>
      </c>
      <c r="AB104">
        <v>0.73599999999999999</v>
      </c>
      <c r="AC104">
        <v>0.95799999999999996</v>
      </c>
      <c r="AD104">
        <v>3</v>
      </c>
      <c r="AE104">
        <v>2</v>
      </c>
      <c r="AF104">
        <v>2.4849999999999999</v>
      </c>
      <c r="AG104">
        <v>114.91</v>
      </c>
      <c r="AH104" t="s">
        <v>8</v>
      </c>
      <c r="AI104" t="s">
        <v>102</v>
      </c>
      <c r="AJ104" t="s">
        <v>103</v>
      </c>
      <c r="AK104">
        <v>0</v>
      </c>
      <c r="AL104">
        <v>5028</v>
      </c>
      <c r="AM104">
        <v>28100</v>
      </c>
      <c r="AN104">
        <v>64374</v>
      </c>
      <c r="AO104">
        <v>31579</v>
      </c>
      <c r="AP104">
        <v>34822</v>
      </c>
      <c r="AQ104">
        <v>0</v>
      </c>
      <c r="AR104">
        <v>5027.8125</v>
      </c>
      <c r="AS104">
        <v>28100.25</v>
      </c>
      <c r="AT104">
        <v>64373.5</v>
      </c>
      <c r="AU104">
        <v>31578.9375</v>
      </c>
      <c r="AV104">
        <v>34821.5</v>
      </c>
      <c r="AW104">
        <v>0</v>
      </c>
      <c r="AX104">
        <v>0</v>
      </c>
      <c r="AY104">
        <v>0</v>
      </c>
      <c r="AZ104">
        <v>0</v>
      </c>
      <c r="BA104">
        <v>0</v>
      </c>
      <c r="BB104">
        <v>0</v>
      </c>
    </row>
    <row r="105" spans="1:54" x14ac:dyDescent="0.55000000000000004">
      <c r="A105">
        <v>365</v>
      </c>
      <c r="B105">
        <v>18.434999999999999</v>
      </c>
      <c r="C105">
        <v>662.64679000000001</v>
      </c>
      <c r="D105" t="s">
        <v>104</v>
      </c>
      <c r="E105" t="s">
        <v>32</v>
      </c>
      <c r="F105" t="s">
        <v>2</v>
      </c>
      <c r="G105">
        <v>0.5</v>
      </c>
      <c r="H105" t="b">
        <v>1</v>
      </c>
      <c r="I105">
        <v>13.42</v>
      </c>
      <c r="J105">
        <v>662.64568999999995</v>
      </c>
      <c r="K105" t="s">
        <v>105</v>
      </c>
      <c r="L105" t="s">
        <v>4</v>
      </c>
      <c r="N105" t="s">
        <v>106</v>
      </c>
      <c r="O105" t="s">
        <v>117</v>
      </c>
      <c r="P105">
        <v>410</v>
      </c>
      <c r="Q105" t="b">
        <v>0</v>
      </c>
      <c r="R105" t="b">
        <v>1</v>
      </c>
      <c r="S105" t="b">
        <v>1</v>
      </c>
      <c r="T105" t="s">
        <v>7</v>
      </c>
      <c r="U105" t="b">
        <v>0</v>
      </c>
      <c r="V105" t="b">
        <v>0</v>
      </c>
      <c r="W105">
        <v>365</v>
      </c>
      <c r="X105">
        <v>0</v>
      </c>
      <c r="Y105">
        <v>0</v>
      </c>
      <c r="Z105">
        <v>0.99</v>
      </c>
      <c r="AA105">
        <v>0.59399999999999997</v>
      </c>
      <c r="AB105">
        <v>0.71699999999999997</v>
      </c>
      <c r="AC105">
        <v>0.95599999999999996</v>
      </c>
      <c r="AD105">
        <v>10</v>
      </c>
      <c r="AE105">
        <v>2</v>
      </c>
      <c r="AF105">
        <v>2.4710000000000001</v>
      </c>
      <c r="AG105">
        <v>118.85</v>
      </c>
      <c r="AH105" t="s">
        <v>8</v>
      </c>
      <c r="AI105" t="s">
        <v>108</v>
      </c>
      <c r="AJ105" t="s">
        <v>109</v>
      </c>
      <c r="AK105">
        <v>0</v>
      </c>
      <c r="AL105">
        <v>5615</v>
      </c>
      <c r="AM105">
        <v>30638</v>
      </c>
      <c r="AN105">
        <v>80062</v>
      </c>
      <c r="AO105">
        <v>42678</v>
      </c>
      <c r="AP105">
        <v>41773</v>
      </c>
      <c r="AQ105">
        <v>0</v>
      </c>
      <c r="AR105">
        <v>5615.25</v>
      </c>
      <c r="AS105">
        <v>30638.125</v>
      </c>
      <c r="AT105">
        <v>80062.1875</v>
      </c>
      <c r="AU105">
        <v>42677.6875</v>
      </c>
      <c r="AV105">
        <v>41773.0625</v>
      </c>
      <c r="AW105">
        <v>0</v>
      </c>
      <c r="AX105">
        <v>0</v>
      </c>
      <c r="AY105">
        <v>0</v>
      </c>
      <c r="AZ105">
        <v>0</v>
      </c>
      <c r="BA105">
        <v>0</v>
      </c>
      <c r="BB105">
        <v>0</v>
      </c>
    </row>
    <row r="106" spans="1:54" x14ac:dyDescent="0.55000000000000004">
      <c r="A106">
        <v>385</v>
      </c>
      <c r="B106">
        <v>17.536000000000001</v>
      </c>
      <c r="C106">
        <v>666.60473999999999</v>
      </c>
      <c r="D106" t="s">
        <v>39</v>
      </c>
      <c r="E106" t="s">
        <v>1</v>
      </c>
      <c r="F106" t="s">
        <v>2</v>
      </c>
      <c r="G106">
        <v>0.83</v>
      </c>
      <c r="H106" t="b">
        <v>1</v>
      </c>
      <c r="I106">
        <v>12.988</v>
      </c>
      <c r="J106">
        <v>666.60419000000002</v>
      </c>
      <c r="K106" t="s">
        <v>40</v>
      </c>
      <c r="L106" t="s">
        <v>4</v>
      </c>
      <c r="N106" t="s">
        <v>41</v>
      </c>
      <c r="O106" t="s">
        <v>117</v>
      </c>
      <c r="P106">
        <v>410</v>
      </c>
      <c r="Q106" t="b">
        <v>0</v>
      </c>
      <c r="R106" t="b">
        <v>1</v>
      </c>
      <c r="S106" t="b">
        <v>1</v>
      </c>
      <c r="T106" t="s">
        <v>7</v>
      </c>
      <c r="U106" t="b">
        <v>0</v>
      </c>
      <c r="V106" t="b">
        <v>0</v>
      </c>
      <c r="W106">
        <v>385</v>
      </c>
      <c r="X106">
        <v>0</v>
      </c>
      <c r="Y106">
        <v>0</v>
      </c>
      <c r="Z106">
        <v>0.97</v>
      </c>
      <c r="AA106">
        <v>0.73699999999999999</v>
      </c>
      <c r="AB106">
        <v>0.85799999999999998</v>
      </c>
      <c r="AC106">
        <v>0.91500000000000004</v>
      </c>
      <c r="AD106">
        <v>10</v>
      </c>
      <c r="AE106">
        <v>2</v>
      </c>
      <c r="AF106">
        <v>2.5049999999999999</v>
      </c>
      <c r="AG106">
        <v>28753.16</v>
      </c>
      <c r="AH106" t="s">
        <v>110</v>
      </c>
      <c r="AI106" t="s">
        <v>111</v>
      </c>
      <c r="AJ106" t="s">
        <v>112</v>
      </c>
      <c r="AK106">
        <v>0</v>
      </c>
      <c r="AL106">
        <v>570696</v>
      </c>
      <c r="AM106">
        <v>2231772</v>
      </c>
      <c r="AN106">
        <v>5328871</v>
      </c>
      <c r="AO106">
        <v>3643438</v>
      </c>
      <c r="AP106">
        <v>2944216</v>
      </c>
      <c r="AQ106">
        <v>0</v>
      </c>
      <c r="AR106">
        <v>570696.4375</v>
      </c>
      <c r="AS106">
        <v>2231772.5</v>
      </c>
      <c r="AT106">
        <v>5328871</v>
      </c>
      <c r="AU106">
        <v>3643438.375</v>
      </c>
      <c r="AV106">
        <v>2944215.9375</v>
      </c>
      <c r="AW106">
        <v>0</v>
      </c>
      <c r="AX106">
        <v>0</v>
      </c>
      <c r="AY106">
        <v>0</v>
      </c>
      <c r="AZ106">
        <v>0</v>
      </c>
      <c r="BA106">
        <v>0</v>
      </c>
      <c r="BB106">
        <v>0</v>
      </c>
    </row>
    <row r="107" spans="1:54" x14ac:dyDescent="0.55000000000000004">
      <c r="A107">
        <v>411</v>
      </c>
      <c r="B107">
        <v>13.632999999999999</v>
      </c>
      <c r="C107">
        <v>671.46538999999996</v>
      </c>
      <c r="D107" t="s">
        <v>113</v>
      </c>
      <c r="E107" t="s">
        <v>32</v>
      </c>
      <c r="F107" t="s">
        <v>2</v>
      </c>
      <c r="G107">
        <v>0.67</v>
      </c>
      <c r="H107" t="b">
        <v>1</v>
      </c>
      <c r="I107">
        <v>8.4659999999999993</v>
      </c>
      <c r="J107">
        <v>671.46569999999997</v>
      </c>
      <c r="K107" t="s">
        <v>114</v>
      </c>
      <c r="L107" t="s">
        <v>115</v>
      </c>
      <c r="N107" t="s">
        <v>116</v>
      </c>
      <c r="O107" t="s">
        <v>126</v>
      </c>
      <c r="P107">
        <v>410</v>
      </c>
      <c r="Q107" t="b">
        <v>0</v>
      </c>
      <c r="R107" t="b">
        <v>1</v>
      </c>
      <c r="S107" t="b">
        <v>1</v>
      </c>
      <c r="T107" t="s">
        <v>7</v>
      </c>
      <c r="U107" t="b">
        <v>0</v>
      </c>
      <c r="V107" t="b">
        <v>0</v>
      </c>
      <c r="W107">
        <v>411</v>
      </c>
      <c r="X107">
        <v>0</v>
      </c>
      <c r="Y107">
        <v>0</v>
      </c>
      <c r="Z107">
        <v>1</v>
      </c>
      <c r="AA107">
        <v>0.63400000000000001</v>
      </c>
      <c r="AB107">
        <v>0.72299999999999998</v>
      </c>
      <c r="AC107">
        <v>0.93200000000000005</v>
      </c>
      <c r="AD107">
        <v>7</v>
      </c>
      <c r="AE107">
        <v>2</v>
      </c>
      <c r="AF107">
        <v>2.476</v>
      </c>
      <c r="AG107">
        <v>121.52</v>
      </c>
      <c r="AH107" t="s">
        <v>8</v>
      </c>
      <c r="AI107" t="s">
        <v>118</v>
      </c>
      <c r="AJ107" t="s">
        <v>119</v>
      </c>
      <c r="AK107">
        <v>0</v>
      </c>
      <c r="AL107">
        <v>8499</v>
      </c>
      <c r="AM107">
        <v>26020</v>
      </c>
      <c r="AN107">
        <v>40999</v>
      </c>
      <c r="AO107">
        <v>29061</v>
      </c>
      <c r="AP107">
        <v>27928</v>
      </c>
      <c r="AQ107">
        <v>0</v>
      </c>
      <c r="AR107">
        <v>8498.5625</v>
      </c>
      <c r="AS107">
        <v>26020.1875</v>
      </c>
      <c r="AT107">
        <v>40998.625</v>
      </c>
      <c r="AU107">
        <v>29060.875</v>
      </c>
      <c r="AV107">
        <v>27927.8125</v>
      </c>
      <c r="AW107">
        <v>0</v>
      </c>
      <c r="AX107">
        <v>0</v>
      </c>
      <c r="AY107">
        <v>0</v>
      </c>
      <c r="AZ107">
        <v>0</v>
      </c>
      <c r="BA107">
        <v>0</v>
      </c>
      <c r="BB107">
        <v>0</v>
      </c>
    </row>
    <row r="108" spans="1:54" x14ac:dyDescent="0.55000000000000004">
      <c r="A108">
        <v>412</v>
      </c>
      <c r="B108">
        <v>13.052</v>
      </c>
      <c r="C108">
        <v>671.46558000000005</v>
      </c>
      <c r="D108" t="s">
        <v>113</v>
      </c>
      <c r="E108" t="s">
        <v>32</v>
      </c>
      <c r="F108" t="s">
        <v>2</v>
      </c>
      <c r="G108">
        <v>0.5</v>
      </c>
      <c r="H108" t="b">
        <v>1</v>
      </c>
      <c r="I108">
        <v>8.4659999999999993</v>
      </c>
      <c r="J108">
        <v>671.46569999999997</v>
      </c>
      <c r="K108" t="s">
        <v>114</v>
      </c>
      <c r="L108" t="s">
        <v>115</v>
      </c>
      <c r="N108" t="s">
        <v>116</v>
      </c>
      <c r="O108" t="s">
        <v>132</v>
      </c>
      <c r="P108">
        <v>410</v>
      </c>
      <c r="Q108" t="b">
        <v>0</v>
      </c>
      <c r="R108" t="b">
        <v>1</v>
      </c>
      <c r="S108" t="b">
        <v>1</v>
      </c>
      <c r="T108" t="s">
        <v>7</v>
      </c>
      <c r="U108" t="b">
        <v>0</v>
      </c>
      <c r="V108" t="b">
        <v>0</v>
      </c>
      <c r="W108">
        <v>412</v>
      </c>
      <c r="X108">
        <v>0</v>
      </c>
      <c r="Y108">
        <v>0</v>
      </c>
      <c r="Z108">
        <v>1</v>
      </c>
      <c r="AA108">
        <v>0.51200000000000001</v>
      </c>
      <c r="AB108">
        <v>0.59099999999999997</v>
      </c>
      <c r="AC108">
        <v>0.88400000000000001</v>
      </c>
      <c r="AD108">
        <v>5</v>
      </c>
      <c r="AE108">
        <v>2</v>
      </c>
      <c r="AF108">
        <v>2.4009999999999998</v>
      </c>
      <c r="AG108">
        <v>170.28</v>
      </c>
      <c r="AH108" t="s">
        <v>22</v>
      </c>
      <c r="AI108" t="s">
        <v>120</v>
      </c>
      <c r="AJ108" t="s">
        <v>121</v>
      </c>
      <c r="AK108">
        <v>0</v>
      </c>
      <c r="AL108">
        <v>3097</v>
      </c>
      <c r="AM108">
        <v>17258</v>
      </c>
      <c r="AN108">
        <v>54536</v>
      </c>
      <c r="AO108">
        <v>27282</v>
      </c>
      <c r="AP108">
        <v>27388</v>
      </c>
      <c r="AQ108">
        <v>0</v>
      </c>
      <c r="AR108">
        <v>3097.0625</v>
      </c>
      <c r="AS108">
        <v>17258</v>
      </c>
      <c r="AT108">
        <v>54536.5</v>
      </c>
      <c r="AU108">
        <v>27282.375</v>
      </c>
      <c r="AV108">
        <v>27388</v>
      </c>
      <c r="AW108">
        <v>0</v>
      </c>
      <c r="AX108">
        <v>0</v>
      </c>
      <c r="AY108">
        <v>0</v>
      </c>
      <c r="AZ108">
        <v>0</v>
      </c>
      <c r="BA108">
        <v>0</v>
      </c>
      <c r="BB108">
        <v>0</v>
      </c>
    </row>
    <row r="109" spans="1:54" x14ac:dyDescent="0.55000000000000004">
      <c r="A109">
        <v>417</v>
      </c>
      <c r="B109">
        <v>14.321</v>
      </c>
      <c r="C109">
        <v>672.49725000000001</v>
      </c>
      <c r="D109" t="s">
        <v>122</v>
      </c>
      <c r="E109" t="s">
        <v>32</v>
      </c>
      <c r="F109" t="s">
        <v>2</v>
      </c>
      <c r="G109">
        <v>0.17</v>
      </c>
      <c r="H109" t="b">
        <v>1</v>
      </c>
      <c r="I109">
        <v>9.609</v>
      </c>
      <c r="J109">
        <v>672.49738000000002</v>
      </c>
      <c r="K109" t="s">
        <v>123</v>
      </c>
      <c r="L109" t="s">
        <v>124</v>
      </c>
      <c r="N109" t="s">
        <v>125</v>
      </c>
      <c r="O109" t="s">
        <v>63</v>
      </c>
      <c r="P109">
        <v>410</v>
      </c>
      <c r="Q109" t="b">
        <v>0</v>
      </c>
      <c r="R109" t="b">
        <v>1</v>
      </c>
      <c r="S109" t="b">
        <v>1</v>
      </c>
      <c r="T109" t="s">
        <v>7</v>
      </c>
      <c r="U109" t="b">
        <v>0</v>
      </c>
      <c r="V109" t="b">
        <v>0</v>
      </c>
      <c r="W109">
        <v>417</v>
      </c>
      <c r="X109">
        <v>0</v>
      </c>
      <c r="Y109">
        <v>0</v>
      </c>
      <c r="Z109">
        <v>1</v>
      </c>
      <c r="AA109">
        <v>0.50600000000000001</v>
      </c>
      <c r="AB109">
        <v>0.56499999999999995</v>
      </c>
      <c r="AC109">
        <v>0.93799999999999994</v>
      </c>
      <c r="AD109">
        <v>3</v>
      </c>
      <c r="AE109">
        <v>2</v>
      </c>
      <c r="AF109">
        <v>2.4169999999999998</v>
      </c>
      <c r="AG109">
        <v>43.54</v>
      </c>
      <c r="AH109" t="s">
        <v>45</v>
      </c>
      <c r="AI109" t="s">
        <v>127</v>
      </c>
      <c r="AJ109" t="s">
        <v>128</v>
      </c>
      <c r="AK109">
        <v>0</v>
      </c>
      <c r="AL109">
        <v>3003</v>
      </c>
      <c r="AM109">
        <v>12660</v>
      </c>
      <c r="AN109">
        <v>28186</v>
      </c>
      <c r="AO109">
        <v>15532</v>
      </c>
      <c r="AP109">
        <v>16363</v>
      </c>
      <c r="AQ109">
        <v>0</v>
      </c>
      <c r="AR109">
        <v>3003</v>
      </c>
      <c r="AS109">
        <v>12659.6875</v>
      </c>
      <c r="AT109">
        <v>28186.125</v>
      </c>
      <c r="AU109">
        <v>15531.5</v>
      </c>
      <c r="AV109">
        <v>16362.9375</v>
      </c>
      <c r="AW109">
        <v>0</v>
      </c>
      <c r="AX109">
        <v>0</v>
      </c>
      <c r="AY109">
        <v>0</v>
      </c>
      <c r="AZ109">
        <v>0</v>
      </c>
      <c r="BA109">
        <v>0</v>
      </c>
      <c r="BB109">
        <v>0</v>
      </c>
    </row>
    <row r="110" spans="1:54" x14ac:dyDescent="0.55000000000000004">
      <c r="A110">
        <v>431</v>
      </c>
      <c r="B110">
        <v>15.481999999999999</v>
      </c>
      <c r="C110">
        <v>674.51337000000001</v>
      </c>
      <c r="D110" t="s">
        <v>129</v>
      </c>
      <c r="E110" t="s">
        <v>32</v>
      </c>
      <c r="F110" t="s">
        <v>2</v>
      </c>
      <c r="G110">
        <v>0.67</v>
      </c>
      <c r="H110" t="b">
        <v>1</v>
      </c>
      <c r="I110">
        <v>10.099</v>
      </c>
      <c r="J110">
        <v>674.51300000000003</v>
      </c>
      <c r="K110" t="s">
        <v>130</v>
      </c>
      <c r="L110" t="s">
        <v>124</v>
      </c>
      <c r="N110" t="s">
        <v>131</v>
      </c>
      <c r="O110" t="s">
        <v>141</v>
      </c>
      <c r="P110">
        <v>410</v>
      </c>
      <c r="Q110" t="b">
        <v>0</v>
      </c>
      <c r="R110" t="b">
        <v>1</v>
      </c>
      <c r="S110" t="b">
        <v>1</v>
      </c>
      <c r="T110" t="s">
        <v>7</v>
      </c>
      <c r="U110" t="b">
        <v>0</v>
      </c>
      <c r="V110" t="b">
        <v>0</v>
      </c>
      <c r="W110">
        <v>431</v>
      </c>
      <c r="X110">
        <v>0</v>
      </c>
      <c r="Y110">
        <v>0</v>
      </c>
      <c r="Z110">
        <v>1</v>
      </c>
      <c r="AA110">
        <v>0.64300000000000002</v>
      </c>
      <c r="AB110">
        <v>0.66200000000000003</v>
      </c>
      <c r="AC110">
        <v>0.89700000000000002</v>
      </c>
      <c r="AD110">
        <v>3</v>
      </c>
      <c r="AE110">
        <v>2</v>
      </c>
      <c r="AF110">
        <v>2.4500000000000002</v>
      </c>
      <c r="AG110">
        <v>103.05</v>
      </c>
      <c r="AH110" t="s">
        <v>8</v>
      </c>
      <c r="AI110" t="s">
        <v>133</v>
      </c>
      <c r="AJ110" t="s">
        <v>134</v>
      </c>
      <c r="AK110">
        <v>0</v>
      </c>
      <c r="AL110">
        <v>6535</v>
      </c>
      <c r="AM110">
        <v>28847</v>
      </c>
      <c r="AN110">
        <v>67957</v>
      </c>
      <c r="AO110">
        <v>37900</v>
      </c>
      <c r="AP110">
        <v>38382</v>
      </c>
      <c r="AQ110">
        <v>0</v>
      </c>
      <c r="AR110">
        <v>6535.25</v>
      </c>
      <c r="AS110">
        <v>28847.3125</v>
      </c>
      <c r="AT110">
        <v>67956.6875</v>
      </c>
      <c r="AU110">
        <v>37899.5</v>
      </c>
      <c r="AV110">
        <v>38381.8125</v>
      </c>
      <c r="AW110">
        <v>0</v>
      </c>
      <c r="AX110">
        <v>0</v>
      </c>
      <c r="AY110">
        <v>0</v>
      </c>
      <c r="AZ110">
        <v>0</v>
      </c>
      <c r="BA110">
        <v>0</v>
      </c>
      <c r="BB110">
        <v>0</v>
      </c>
    </row>
    <row r="111" spans="1:54" x14ac:dyDescent="0.55000000000000004">
      <c r="A111">
        <v>465</v>
      </c>
      <c r="B111">
        <v>17.904</v>
      </c>
      <c r="C111">
        <v>680.62012000000004</v>
      </c>
      <c r="D111" t="s">
        <v>60</v>
      </c>
      <c r="E111" t="s">
        <v>1</v>
      </c>
      <c r="F111" t="s">
        <v>2</v>
      </c>
      <c r="G111">
        <v>0.83</v>
      </c>
      <c r="H111" t="b">
        <v>1</v>
      </c>
      <c r="I111">
        <v>13.141999999999999</v>
      </c>
      <c r="J111">
        <v>680.61981000000003</v>
      </c>
      <c r="K111" t="s">
        <v>61</v>
      </c>
      <c r="L111" t="s">
        <v>4</v>
      </c>
      <c r="N111" t="s">
        <v>62</v>
      </c>
      <c r="O111" t="s">
        <v>82</v>
      </c>
      <c r="P111">
        <v>410</v>
      </c>
      <c r="Q111" t="b">
        <v>0</v>
      </c>
      <c r="R111" t="b">
        <v>1</v>
      </c>
      <c r="S111" t="b">
        <v>1</v>
      </c>
      <c r="T111" t="s">
        <v>7</v>
      </c>
      <c r="U111" t="b">
        <v>0</v>
      </c>
      <c r="V111" t="b">
        <v>0</v>
      </c>
      <c r="W111">
        <v>465</v>
      </c>
      <c r="X111">
        <v>0</v>
      </c>
      <c r="Y111">
        <v>0</v>
      </c>
      <c r="Z111">
        <v>0.98</v>
      </c>
      <c r="AA111">
        <v>0.72799999999999998</v>
      </c>
      <c r="AB111">
        <v>0.83699999999999997</v>
      </c>
      <c r="AC111">
        <v>0.92800000000000005</v>
      </c>
      <c r="AD111">
        <v>10</v>
      </c>
      <c r="AE111">
        <v>2</v>
      </c>
      <c r="AF111">
        <v>2.5059999999999998</v>
      </c>
      <c r="AG111">
        <v>6898.75</v>
      </c>
      <c r="AH111" t="s">
        <v>110</v>
      </c>
      <c r="AI111" t="s">
        <v>135</v>
      </c>
      <c r="AJ111" t="s">
        <v>136</v>
      </c>
      <c r="AK111">
        <v>0</v>
      </c>
      <c r="AL111">
        <v>487247</v>
      </c>
      <c r="AM111">
        <v>1895500</v>
      </c>
      <c r="AN111">
        <v>4834062</v>
      </c>
      <c r="AO111">
        <v>3109111</v>
      </c>
      <c r="AP111">
        <v>2596551</v>
      </c>
      <c r="AQ111">
        <v>0</v>
      </c>
      <c r="AR111">
        <v>487247.3125</v>
      </c>
      <c r="AS111">
        <v>1895500.5</v>
      </c>
      <c r="AT111">
        <v>4834062.4375</v>
      </c>
      <c r="AU111">
        <v>3109111</v>
      </c>
      <c r="AV111">
        <v>2596551.375</v>
      </c>
      <c r="AW111">
        <v>0</v>
      </c>
      <c r="AX111">
        <v>0</v>
      </c>
      <c r="AY111">
        <v>0</v>
      </c>
      <c r="AZ111">
        <v>0</v>
      </c>
      <c r="BA111">
        <v>0</v>
      </c>
      <c r="BB111">
        <v>0</v>
      </c>
    </row>
    <row r="112" spans="1:54" x14ac:dyDescent="0.55000000000000004">
      <c r="A112">
        <v>499</v>
      </c>
      <c r="B112">
        <v>13.741</v>
      </c>
      <c r="C112">
        <v>688.49199999999996</v>
      </c>
      <c r="D112" t="s">
        <v>137</v>
      </c>
      <c r="E112" t="s">
        <v>32</v>
      </c>
      <c r="F112" t="s">
        <v>2</v>
      </c>
      <c r="G112">
        <v>0.67</v>
      </c>
      <c r="H112" t="b">
        <v>1</v>
      </c>
      <c r="I112">
        <v>9.23</v>
      </c>
      <c r="J112">
        <v>688.49230999999997</v>
      </c>
      <c r="K112" t="s">
        <v>138</v>
      </c>
      <c r="L112" t="s">
        <v>139</v>
      </c>
      <c r="N112" t="s">
        <v>140</v>
      </c>
      <c r="O112" t="s">
        <v>88</v>
      </c>
      <c r="P112">
        <v>410</v>
      </c>
      <c r="Q112" t="b">
        <v>0</v>
      </c>
      <c r="R112" t="b">
        <v>1</v>
      </c>
      <c r="S112" t="b">
        <v>1</v>
      </c>
      <c r="T112" t="s">
        <v>7</v>
      </c>
      <c r="U112" t="b">
        <v>0</v>
      </c>
      <c r="V112" t="b">
        <v>0</v>
      </c>
      <c r="W112">
        <v>499</v>
      </c>
      <c r="X112">
        <v>0</v>
      </c>
      <c r="Y112">
        <v>0</v>
      </c>
      <c r="Z112">
        <v>1</v>
      </c>
      <c r="AA112">
        <v>0.47899999999999998</v>
      </c>
      <c r="AB112">
        <v>0.54900000000000004</v>
      </c>
      <c r="AC112">
        <v>0.88700000000000001</v>
      </c>
      <c r="AD112">
        <v>4</v>
      </c>
      <c r="AE112">
        <v>2</v>
      </c>
      <c r="AF112">
        <v>2.3849999999999998</v>
      </c>
      <c r="AG112">
        <v>119.76</v>
      </c>
      <c r="AH112" t="s">
        <v>22</v>
      </c>
      <c r="AI112" t="s">
        <v>142</v>
      </c>
      <c r="AJ112" t="s">
        <v>143</v>
      </c>
      <c r="AK112">
        <v>0</v>
      </c>
      <c r="AL112">
        <v>6444</v>
      </c>
      <c r="AM112">
        <v>23135</v>
      </c>
      <c r="AN112">
        <v>45392</v>
      </c>
      <c r="AO112">
        <v>26947</v>
      </c>
      <c r="AP112">
        <v>27250</v>
      </c>
      <c r="AQ112">
        <v>0</v>
      </c>
      <c r="AR112">
        <v>6444.0625</v>
      </c>
      <c r="AS112">
        <v>23134.625</v>
      </c>
      <c r="AT112">
        <v>45392.1875</v>
      </c>
      <c r="AU112">
        <v>26947.375</v>
      </c>
      <c r="AV112">
        <v>27250.3125</v>
      </c>
      <c r="AW112">
        <v>0</v>
      </c>
      <c r="AX112">
        <v>0</v>
      </c>
      <c r="AY112">
        <v>0</v>
      </c>
      <c r="AZ112">
        <v>0</v>
      </c>
      <c r="BA112">
        <v>0</v>
      </c>
      <c r="BB112">
        <v>0</v>
      </c>
    </row>
    <row r="113" spans="1:54" x14ac:dyDescent="0.55000000000000004">
      <c r="A113">
        <v>522</v>
      </c>
      <c r="B113">
        <v>17.449000000000002</v>
      </c>
      <c r="C113">
        <v>692.62018</v>
      </c>
      <c r="D113" t="s">
        <v>79</v>
      </c>
      <c r="E113" t="s">
        <v>1</v>
      </c>
      <c r="F113" t="s">
        <v>2</v>
      </c>
      <c r="G113">
        <v>0.83</v>
      </c>
      <c r="H113" t="b">
        <v>1</v>
      </c>
      <c r="I113">
        <v>12.958</v>
      </c>
      <c r="J113">
        <v>692.61981000000003</v>
      </c>
      <c r="K113" t="s">
        <v>80</v>
      </c>
      <c r="L113" t="s">
        <v>4</v>
      </c>
      <c r="N113" t="s">
        <v>81</v>
      </c>
      <c r="O113" t="s">
        <v>151</v>
      </c>
      <c r="P113">
        <v>410</v>
      </c>
      <c r="Q113" t="b">
        <v>0</v>
      </c>
      <c r="R113" t="b">
        <v>1</v>
      </c>
      <c r="S113" t="b">
        <v>1</v>
      </c>
      <c r="T113" t="s">
        <v>7</v>
      </c>
      <c r="U113" t="b">
        <v>0</v>
      </c>
      <c r="V113" t="b">
        <v>0</v>
      </c>
      <c r="W113">
        <v>522</v>
      </c>
      <c r="X113">
        <v>0</v>
      </c>
      <c r="Y113">
        <v>0</v>
      </c>
      <c r="Z113">
        <v>0.97</v>
      </c>
      <c r="AA113">
        <v>0.752</v>
      </c>
      <c r="AB113">
        <v>0.84099999999999997</v>
      </c>
      <c r="AC113">
        <v>0.91800000000000004</v>
      </c>
      <c r="AD113">
        <v>10</v>
      </c>
      <c r="AE113">
        <v>2</v>
      </c>
      <c r="AF113">
        <v>2.508</v>
      </c>
      <c r="AG113">
        <v>14084.06</v>
      </c>
      <c r="AH113" t="s">
        <v>110</v>
      </c>
      <c r="AI113" t="s">
        <v>144</v>
      </c>
      <c r="AJ113" t="s">
        <v>145</v>
      </c>
      <c r="AK113">
        <v>0</v>
      </c>
      <c r="AL113">
        <v>489070</v>
      </c>
      <c r="AM113">
        <v>2282060</v>
      </c>
      <c r="AN113">
        <v>5836057</v>
      </c>
      <c r="AO113">
        <v>3318020</v>
      </c>
      <c r="AP113">
        <v>3231627</v>
      </c>
      <c r="AQ113">
        <v>0</v>
      </c>
      <c r="AR113">
        <v>489070</v>
      </c>
      <c r="AS113">
        <v>2282060.0625</v>
      </c>
      <c r="AT113">
        <v>5836056.75</v>
      </c>
      <c r="AU113">
        <v>3318020.1875</v>
      </c>
      <c r="AV113">
        <v>3231627.125</v>
      </c>
      <c r="AW113">
        <v>0</v>
      </c>
      <c r="AX113">
        <v>0</v>
      </c>
      <c r="AY113">
        <v>0</v>
      </c>
      <c r="AZ113">
        <v>0</v>
      </c>
      <c r="BA113">
        <v>0</v>
      </c>
      <c r="BB113">
        <v>0</v>
      </c>
    </row>
    <row r="114" spans="1:54" x14ac:dyDescent="0.55000000000000004">
      <c r="A114">
        <v>534</v>
      </c>
      <c r="B114">
        <v>18.248000000000001</v>
      </c>
      <c r="C114">
        <v>694.63567999999998</v>
      </c>
      <c r="D114" t="s">
        <v>85</v>
      </c>
      <c r="E114" t="s">
        <v>1</v>
      </c>
      <c r="F114" t="s">
        <v>2</v>
      </c>
      <c r="G114">
        <v>0.83</v>
      </c>
      <c r="H114" t="b">
        <v>1</v>
      </c>
      <c r="I114">
        <v>13.276</v>
      </c>
      <c r="J114">
        <v>694.63549999999998</v>
      </c>
      <c r="K114" t="s">
        <v>86</v>
      </c>
      <c r="L114" t="s">
        <v>4</v>
      </c>
      <c r="N114" t="s">
        <v>87</v>
      </c>
      <c r="Q114" t="b">
        <v>0</v>
      </c>
      <c r="R114" t="b">
        <v>1</v>
      </c>
      <c r="S114" t="b">
        <v>1</v>
      </c>
      <c r="T114" t="s">
        <v>7</v>
      </c>
      <c r="U114" t="b">
        <v>0</v>
      </c>
      <c r="V114" t="b">
        <v>0</v>
      </c>
      <c r="W114">
        <v>534</v>
      </c>
      <c r="X114">
        <v>0</v>
      </c>
      <c r="Y114">
        <v>0</v>
      </c>
      <c r="Z114">
        <v>0.99</v>
      </c>
      <c r="AA114">
        <v>0.79900000000000004</v>
      </c>
      <c r="AB114">
        <v>0.89900000000000002</v>
      </c>
      <c r="AC114">
        <v>0.93100000000000005</v>
      </c>
      <c r="AD114">
        <v>10</v>
      </c>
      <c r="AE114">
        <v>2</v>
      </c>
      <c r="AF114">
        <v>2.5419999999999998</v>
      </c>
      <c r="AG114">
        <v>35417.43</v>
      </c>
      <c r="AH114" t="s">
        <v>110</v>
      </c>
      <c r="AI114" t="s">
        <v>146</v>
      </c>
      <c r="AJ114" t="s">
        <v>147</v>
      </c>
      <c r="AK114">
        <v>0</v>
      </c>
      <c r="AL114">
        <v>1732821</v>
      </c>
      <c r="AM114">
        <v>5944536</v>
      </c>
      <c r="AN114">
        <v>16416696</v>
      </c>
      <c r="AO114">
        <v>11096096</v>
      </c>
      <c r="AP114">
        <v>8739549</v>
      </c>
      <c r="AQ114">
        <v>0</v>
      </c>
      <c r="AR114">
        <v>1732820.8125</v>
      </c>
      <c r="AS114">
        <v>5944535.875</v>
      </c>
      <c r="AT114">
        <v>16416695.75</v>
      </c>
      <c r="AU114">
        <v>11096096.5</v>
      </c>
      <c r="AV114">
        <v>8739548.875</v>
      </c>
      <c r="AW114">
        <v>0</v>
      </c>
      <c r="AX114">
        <v>0</v>
      </c>
      <c r="AY114">
        <v>0</v>
      </c>
      <c r="AZ114">
        <v>0</v>
      </c>
      <c r="BA114">
        <v>0</v>
      </c>
      <c r="BB114">
        <v>0</v>
      </c>
    </row>
    <row r="115" spans="1:54" x14ac:dyDescent="0.55000000000000004">
      <c r="A115">
        <v>558</v>
      </c>
      <c r="B115">
        <v>14.55</v>
      </c>
      <c r="C115">
        <v>698.51256999999998</v>
      </c>
      <c r="D115" t="s">
        <v>148</v>
      </c>
      <c r="E115" t="s">
        <v>32</v>
      </c>
      <c r="F115" t="s">
        <v>2</v>
      </c>
      <c r="G115">
        <v>0.83</v>
      </c>
      <c r="H115" t="b">
        <v>1</v>
      </c>
      <c r="I115">
        <v>9.6649999999999991</v>
      </c>
      <c r="J115">
        <v>698.51300000000003</v>
      </c>
      <c r="K115" t="s">
        <v>149</v>
      </c>
      <c r="L115" t="s">
        <v>124</v>
      </c>
      <c r="N115" t="s">
        <v>150</v>
      </c>
      <c r="Q115" t="b">
        <v>0</v>
      </c>
      <c r="R115" t="b">
        <v>1</v>
      </c>
      <c r="S115" t="b">
        <v>1</v>
      </c>
      <c r="T115" t="s">
        <v>7</v>
      </c>
      <c r="U115" t="b">
        <v>0</v>
      </c>
      <c r="V115" t="b">
        <v>0</v>
      </c>
      <c r="W115">
        <v>558</v>
      </c>
      <c r="X115">
        <v>0</v>
      </c>
      <c r="Y115">
        <v>0</v>
      </c>
      <c r="Z115">
        <v>0.98</v>
      </c>
      <c r="AA115">
        <v>0.83599999999999997</v>
      </c>
      <c r="AB115">
        <v>0.84699999999999998</v>
      </c>
      <c r="AC115">
        <v>0.90800000000000003</v>
      </c>
      <c r="AD115">
        <v>3</v>
      </c>
      <c r="AE115">
        <v>2</v>
      </c>
      <c r="AF115">
        <v>2.528</v>
      </c>
      <c r="AG115">
        <v>4004.84</v>
      </c>
      <c r="AH115" t="s">
        <v>110</v>
      </c>
      <c r="AI115" t="s">
        <v>152</v>
      </c>
      <c r="AJ115" t="s">
        <v>153</v>
      </c>
      <c r="AK115">
        <v>0</v>
      </c>
      <c r="AL115">
        <v>287225</v>
      </c>
      <c r="AM115">
        <v>1012677</v>
      </c>
      <c r="AN115">
        <v>1942383</v>
      </c>
      <c r="AO115">
        <v>1219913</v>
      </c>
      <c r="AP115">
        <v>1204257</v>
      </c>
      <c r="AQ115">
        <v>0</v>
      </c>
      <c r="AR115">
        <v>287225.125</v>
      </c>
      <c r="AS115">
        <v>1012676.6875</v>
      </c>
      <c r="AT115">
        <v>1942383.0625</v>
      </c>
      <c r="AU115">
        <v>1219912.5625</v>
      </c>
      <c r="AV115">
        <v>1204257.375</v>
      </c>
      <c r="AW115">
        <v>0</v>
      </c>
      <c r="AX115">
        <v>0</v>
      </c>
      <c r="AY115">
        <v>0</v>
      </c>
      <c r="AZ115">
        <v>0</v>
      </c>
      <c r="BA115">
        <v>0</v>
      </c>
      <c r="BB115">
        <v>0</v>
      </c>
    </row>
    <row r="118" spans="1:54" x14ac:dyDescent="0.55000000000000004">
      <c r="A118" s="5" t="s">
        <v>155</v>
      </c>
      <c r="O118" t="s">
        <v>159</v>
      </c>
      <c r="P118">
        <v>410</v>
      </c>
    </row>
    <row r="119" spans="1:54" x14ac:dyDescent="0.55000000000000004">
      <c r="O119" t="s">
        <v>164</v>
      </c>
      <c r="P119">
        <v>410</v>
      </c>
    </row>
    <row r="120" spans="1:54" x14ac:dyDescent="0.55000000000000004">
      <c r="A120">
        <v>156</v>
      </c>
      <c r="B120">
        <v>14.747</v>
      </c>
      <c r="C120">
        <v>700.52966000000004</v>
      </c>
      <c r="D120" t="s">
        <v>156</v>
      </c>
      <c r="E120" t="s">
        <v>32</v>
      </c>
      <c r="F120" t="s">
        <v>2</v>
      </c>
      <c r="G120">
        <v>0.38</v>
      </c>
      <c r="H120" t="b">
        <v>1</v>
      </c>
      <c r="I120">
        <v>9.7759999999999998</v>
      </c>
      <c r="J120">
        <v>700.52868999999998</v>
      </c>
      <c r="K120" t="s">
        <v>157</v>
      </c>
      <c r="L120" t="s">
        <v>124</v>
      </c>
      <c r="N120" t="s">
        <v>158</v>
      </c>
      <c r="O120" t="s">
        <v>169</v>
      </c>
      <c r="P120">
        <v>410</v>
      </c>
      <c r="Q120" t="b">
        <v>0</v>
      </c>
      <c r="R120" t="b">
        <v>1</v>
      </c>
      <c r="S120" t="b">
        <v>1</v>
      </c>
      <c r="T120" t="s">
        <v>7</v>
      </c>
      <c r="U120" t="b">
        <v>0</v>
      </c>
      <c r="V120" t="b">
        <v>0</v>
      </c>
      <c r="W120">
        <v>156</v>
      </c>
      <c r="X120">
        <v>0</v>
      </c>
      <c r="Y120">
        <v>0</v>
      </c>
      <c r="Z120">
        <v>1</v>
      </c>
      <c r="AA120">
        <v>0.72299999999999998</v>
      </c>
      <c r="AB120">
        <v>0.76900000000000002</v>
      </c>
      <c r="AC120">
        <v>0.91</v>
      </c>
      <c r="AD120">
        <v>3</v>
      </c>
      <c r="AE120">
        <v>2</v>
      </c>
      <c r="AF120">
        <v>2.4950000000000001</v>
      </c>
      <c r="AG120">
        <v>662.46</v>
      </c>
      <c r="AH120" t="s">
        <v>160</v>
      </c>
      <c r="AI120" t="s">
        <v>161</v>
      </c>
    </row>
    <row r="121" spans="1:54" x14ac:dyDescent="0.55000000000000004">
      <c r="A121">
        <v>157</v>
      </c>
      <c r="B121">
        <v>15.494</v>
      </c>
      <c r="C121">
        <v>700.53015000000005</v>
      </c>
      <c r="D121" t="s">
        <v>162</v>
      </c>
      <c r="E121" t="s">
        <v>32</v>
      </c>
      <c r="F121" t="s">
        <v>2</v>
      </c>
      <c r="G121">
        <v>0.46</v>
      </c>
      <c r="H121" t="b">
        <v>1</v>
      </c>
      <c r="I121">
        <v>10.24</v>
      </c>
      <c r="J121">
        <v>700.52868999999998</v>
      </c>
      <c r="K121" t="s">
        <v>157</v>
      </c>
      <c r="L121" t="s">
        <v>124</v>
      </c>
      <c r="N121" t="s">
        <v>163</v>
      </c>
      <c r="O121" t="s">
        <v>169</v>
      </c>
      <c r="P121">
        <v>410</v>
      </c>
      <c r="Q121" t="b">
        <v>0</v>
      </c>
      <c r="R121" t="b">
        <v>1</v>
      </c>
      <c r="S121" t="b">
        <v>1</v>
      </c>
      <c r="T121" t="s">
        <v>7</v>
      </c>
      <c r="U121" t="b">
        <v>0</v>
      </c>
      <c r="V121" t="b">
        <v>0</v>
      </c>
      <c r="W121">
        <v>157</v>
      </c>
      <c r="X121">
        <v>0</v>
      </c>
      <c r="Y121">
        <v>0</v>
      </c>
      <c r="Z121">
        <v>1</v>
      </c>
      <c r="AA121">
        <v>0.78</v>
      </c>
      <c r="AB121">
        <v>0.79500000000000004</v>
      </c>
      <c r="AC121">
        <v>0.91500000000000004</v>
      </c>
      <c r="AD121">
        <v>3</v>
      </c>
      <c r="AE121">
        <v>2</v>
      </c>
      <c r="AF121">
        <v>2.5139999999999998</v>
      </c>
      <c r="AG121">
        <v>4048.89</v>
      </c>
      <c r="AH121" t="s">
        <v>160</v>
      </c>
      <c r="AI121" t="s">
        <v>165</v>
      </c>
    </row>
    <row r="122" spans="1:54" x14ac:dyDescent="0.55000000000000004">
      <c r="A122">
        <v>172</v>
      </c>
      <c r="B122">
        <v>15.148999999999999</v>
      </c>
      <c r="C122">
        <v>702.54498000000001</v>
      </c>
      <c r="D122" t="s">
        <v>166</v>
      </c>
      <c r="E122" t="s">
        <v>32</v>
      </c>
      <c r="F122" t="s">
        <v>2</v>
      </c>
      <c r="G122">
        <v>0.38</v>
      </c>
      <c r="H122" t="b">
        <v>1</v>
      </c>
      <c r="I122">
        <v>11.284000000000001</v>
      </c>
      <c r="J122">
        <v>702.54431</v>
      </c>
      <c r="K122" t="s">
        <v>167</v>
      </c>
      <c r="L122" t="s">
        <v>124</v>
      </c>
      <c r="N122" t="s">
        <v>168</v>
      </c>
      <c r="O122" t="s">
        <v>169</v>
      </c>
      <c r="P122">
        <v>410</v>
      </c>
      <c r="Q122" t="b">
        <v>0</v>
      </c>
      <c r="R122" t="b">
        <v>1</v>
      </c>
      <c r="S122" t="b">
        <v>1</v>
      </c>
      <c r="T122" t="s">
        <v>7</v>
      </c>
      <c r="U122" t="b">
        <v>0</v>
      </c>
      <c r="V122" t="b">
        <v>0</v>
      </c>
      <c r="W122">
        <v>172</v>
      </c>
      <c r="X122">
        <v>0</v>
      </c>
      <c r="Y122">
        <v>0</v>
      </c>
      <c r="Z122">
        <v>1</v>
      </c>
      <c r="AA122">
        <v>0.65800000000000003</v>
      </c>
      <c r="AB122">
        <v>0.66300000000000003</v>
      </c>
      <c r="AC122">
        <v>0.876</v>
      </c>
      <c r="AD122">
        <v>3</v>
      </c>
      <c r="AE122">
        <v>2</v>
      </c>
      <c r="AF122">
        <v>2.444</v>
      </c>
      <c r="AG122">
        <v>399.04</v>
      </c>
      <c r="AH122" t="s">
        <v>160</v>
      </c>
      <c r="AI122" t="s">
        <v>170</v>
      </c>
    </row>
    <row r="123" spans="1:54" x14ac:dyDescent="0.55000000000000004">
      <c r="A123">
        <v>173</v>
      </c>
      <c r="B123">
        <v>15.621</v>
      </c>
      <c r="C123">
        <v>702.54547000000002</v>
      </c>
      <c r="D123" t="s">
        <v>166</v>
      </c>
      <c r="E123" t="s">
        <v>32</v>
      </c>
      <c r="F123" t="s">
        <v>2</v>
      </c>
      <c r="G123">
        <v>0.38</v>
      </c>
      <c r="H123" t="b">
        <v>1</v>
      </c>
      <c r="I123">
        <v>11.284000000000001</v>
      </c>
      <c r="J123">
        <v>702.54431</v>
      </c>
      <c r="K123" t="s">
        <v>167</v>
      </c>
      <c r="L123" t="s">
        <v>124</v>
      </c>
      <c r="N123" t="s">
        <v>168</v>
      </c>
      <c r="O123" t="s">
        <v>177</v>
      </c>
      <c r="P123">
        <v>410</v>
      </c>
      <c r="Q123" t="b">
        <v>0</v>
      </c>
      <c r="R123" t="b">
        <v>1</v>
      </c>
      <c r="S123" t="b">
        <v>1</v>
      </c>
      <c r="T123" t="s">
        <v>7</v>
      </c>
      <c r="U123" t="b">
        <v>0</v>
      </c>
      <c r="V123" t="b">
        <v>0</v>
      </c>
      <c r="W123">
        <v>173</v>
      </c>
      <c r="X123">
        <v>0</v>
      </c>
      <c r="Y123">
        <v>0</v>
      </c>
      <c r="Z123">
        <v>0.99</v>
      </c>
      <c r="AA123">
        <v>0.59499999999999997</v>
      </c>
      <c r="AB123">
        <v>0.63700000000000001</v>
      </c>
      <c r="AC123">
        <v>0.93</v>
      </c>
      <c r="AD123">
        <v>3</v>
      </c>
      <c r="AE123">
        <v>2</v>
      </c>
      <c r="AF123">
        <v>2.444</v>
      </c>
      <c r="AG123">
        <v>723.51</v>
      </c>
      <c r="AH123" t="s">
        <v>171</v>
      </c>
      <c r="AI123" t="s">
        <v>172</v>
      </c>
    </row>
    <row r="124" spans="1:54" x14ac:dyDescent="0.55000000000000004">
      <c r="A124">
        <v>174</v>
      </c>
      <c r="B124">
        <v>16.449000000000002</v>
      </c>
      <c r="C124">
        <v>702.54607999999996</v>
      </c>
      <c r="D124" t="s">
        <v>166</v>
      </c>
      <c r="E124" t="s">
        <v>32</v>
      </c>
      <c r="F124" t="s">
        <v>2</v>
      </c>
      <c r="G124">
        <v>0.38</v>
      </c>
      <c r="H124" t="b">
        <v>1</v>
      </c>
      <c r="I124">
        <v>11.284000000000001</v>
      </c>
      <c r="J124">
        <v>702.54431</v>
      </c>
      <c r="K124" t="s">
        <v>167</v>
      </c>
      <c r="L124" t="s">
        <v>124</v>
      </c>
      <c r="N124" t="s">
        <v>168</v>
      </c>
      <c r="O124" t="s">
        <v>183</v>
      </c>
      <c r="P124">
        <v>410</v>
      </c>
      <c r="Q124" t="b">
        <v>0</v>
      </c>
      <c r="R124" t="b">
        <v>1</v>
      </c>
      <c r="S124" t="b">
        <v>1</v>
      </c>
      <c r="T124" t="s">
        <v>7</v>
      </c>
      <c r="U124" t="b">
        <v>0</v>
      </c>
      <c r="V124" t="b">
        <v>0</v>
      </c>
      <c r="W124">
        <v>174</v>
      </c>
      <c r="X124">
        <v>0</v>
      </c>
      <c r="Y124">
        <v>0</v>
      </c>
      <c r="Z124">
        <v>0.99</v>
      </c>
      <c r="AA124">
        <v>0.64100000000000001</v>
      </c>
      <c r="AB124">
        <v>0.66100000000000003</v>
      </c>
      <c r="AC124">
        <v>0.89900000000000002</v>
      </c>
      <c r="AD124">
        <v>3</v>
      </c>
      <c r="AE124">
        <v>2</v>
      </c>
      <c r="AF124">
        <v>2.4460000000000002</v>
      </c>
      <c r="AG124">
        <v>679.71</v>
      </c>
      <c r="AH124" t="s">
        <v>160</v>
      </c>
      <c r="AI124" t="s">
        <v>173</v>
      </c>
    </row>
    <row r="125" spans="1:54" x14ac:dyDescent="0.55000000000000004">
      <c r="A125">
        <v>184</v>
      </c>
      <c r="B125">
        <v>15.315</v>
      </c>
      <c r="C125">
        <v>704.56122000000005</v>
      </c>
      <c r="D125" t="s">
        <v>174</v>
      </c>
      <c r="E125" t="s">
        <v>32</v>
      </c>
      <c r="F125" t="s">
        <v>2</v>
      </c>
      <c r="G125">
        <v>0.38</v>
      </c>
      <c r="H125" t="b">
        <v>1</v>
      </c>
      <c r="I125">
        <v>11.785</v>
      </c>
      <c r="J125">
        <v>704.56</v>
      </c>
      <c r="K125" t="s">
        <v>175</v>
      </c>
      <c r="L125" t="s">
        <v>124</v>
      </c>
      <c r="N125" t="s">
        <v>176</v>
      </c>
      <c r="O125" t="s">
        <v>188</v>
      </c>
      <c r="P125">
        <v>410</v>
      </c>
      <c r="Q125" t="b">
        <v>0</v>
      </c>
      <c r="R125" t="b">
        <v>1</v>
      </c>
      <c r="S125" t="b">
        <v>1</v>
      </c>
      <c r="T125" t="s">
        <v>7</v>
      </c>
      <c r="U125" t="b">
        <v>0</v>
      </c>
      <c r="V125" t="b">
        <v>0</v>
      </c>
      <c r="W125">
        <v>184</v>
      </c>
      <c r="X125">
        <v>0</v>
      </c>
      <c r="Y125">
        <v>0</v>
      </c>
      <c r="Z125">
        <v>1</v>
      </c>
      <c r="AA125">
        <v>0.77700000000000002</v>
      </c>
      <c r="AB125">
        <v>0.81599999999999995</v>
      </c>
      <c r="AC125">
        <v>0.90900000000000003</v>
      </c>
      <c r="AD125">
        <v>3</v>
      </c>
      <c r="AE125">
        <v>2</v>
      </c>
      <c r="AF125">
        <v>2.516</v>
      </c>
      <c r="AG125">
        <v>642.76</v>
      </c>
      <c r="AH125" t="s">
        <v>160</v>
      </c>
      <c r="AI125" t="s">
        <v>178</v>
      </c>
    </row>
    <row r="126" spans="1:54" x14ac:dyDescent="0.55000000000000004">
      <c r="A126">
        <v>187</v>
      </c>
      <c r="B126">
        <v>10.454000000000001</v>
      </c>
      <c r="C126">
        <v>705.51984000000004</v>
      </c>
      <c r="D126" t="s">
        <v>179</v>
      </c>
      <c r="E126" t="s">
        <v>1</v>
      </c>
      <c r="F126" t="s">
        <v>2</v>
      </c>
      <c r="G126">
        <v>0.38</v>
      </c>
      <c r="H126" t="b">
        <v>1</v>
      </c>
      <c r="I126">
        <v>8.1910000000000007</v>
      </c>
      <c r="J126">
        <v>705.51880000000006</v>
      </c>
      <c r="K126" t="s">
        <v>180</v>
      </c>
      <c r="L126" t="s">
        <v>181</v>
      </c>
      <c r="N126" t="s">
        <v>182</v>
      </c>
      <c r="O126" t="s">
        <v>107</v>
      </c>
      <c r="P126">
        <v>410</v>
      </c>
      <c r="Q126" t="b">
        <v>0</v>
      </c>
      <c r="R126" t="b">
        <v>1</v>
      </c>
      <c r="S126" t="b">
        <v>1</v>
      </c>
      <c r="T126" t="s">
        <v>7</v>
      </c>
      <c r="U126" t="b">
        <v>0</v>
      </c>
      <c r="V126" t="b">
        <v>0</v>
      </c>
      <c r="W126">
        <v>187</v>
      </c>
      <c r="X126">
        <v>0</v>
      </c>
      <c r="Y126">
        <v>0</v>
      </c>
      <c r="Z126">
        <v>0.99</v>
      </c>
      <c r="AA126">
        <v>0.68400000000000005</v>
      </c>
      <c r="AB126">
        <v>0.80900000000000005</v>
      </c>
      <c r="AC126">
        <v>0.91600000000000004</v>
      </c>
      <c r="AD126">
        <v>4</v>
      </c>
      <c r="AE126">
        <v>2</v>
      </c>
      <c r="AF126">
        <v>2.496</v>
      </c>
      <c r="AG126">
        <v>509.45</v>
      </c>
      <c r="AH126" t="s">
        <v>160</v>
      </c>
      <c r="AI126" t="s">
        <v>184</v>
      </c>
    </row>
    <row r="127" spans="1:54" x14ac:dyDescent="0.55000000000000004">
      <c r="A127">
        <v>194</v>
      </c>
      <c r="B127">
        <v>17.666</v>
      </c>
      <c r="C127">
        <v>706.63720999999998</v>
      </c>
      <c r="D127" t="s">
        <v>185</v>
      </c>
      <c r="E127" t="s">
        <v>1</v>
      </c>
      <c r="F127" t="s">
        <v>2</v>
      </c>
      <c r="G127">
        <v>0.46</v>
      </c>
      <c r="H127" t="b">
        <v>1</v>
      </c>
      <c r="I127">
        <v>13.202999999999999</v>
      </c>
      <c r="J127">
        <v>706.63549999999998</v>
      </c>
      <c r="K127" t="s">
        <v>186</v>
      </c>
      <c r="L127" t="s">
        <v>4</v>
      </c>
      <c r="N127" t="s">
        <v>187</v>
      </c>
      <c r="O127" t="s">
        <v>195</v>
      </c>
      <c r="P127">
        <v>410</v>
      </c>
      <c r="Q127" t="b">
        <v>0</v>
      </c>
      <c r="R127" t="b">
        <v>1</v>
      </c>
      <c r="S127" t="b">
        <v>1</v>
      </c>
      <c r="T127" t="s">
        <v>7</v>
      </c>
      <c r="U127" t="b">
        <v>0</v>
      </c>
      <c r="V127" t="b">
        <v>0</v>
      </c>
      <c r="W127">
        <v>194</v>
      </c>
      <c r="X127">
        <v>0</v>
      </c>
      <c r="Y127">
        <v>0</v>
      </c>
      <c r="Z127">
        <v>1</v>
      </c>
      <c r="AA127">
        <v>0.628</v>
      </c>
      <c r="AB127">
        <v>0.77400000000000002</v>
      </c>
      <c r="AC127">
        <v>0.93400000000000005</v>
      </c>
      <c r="AD127">
        <v>10</v>
      </c>
      <c r="AE127">
        <v>2</v>
      </c>
      <c r="AF127">
        <v>2.4849999999999999</v>
      </c>
      <c r="AG127">
        <v>1567.09</v>
      </c>
      <c r="AH127" t="s">
        <v>160</v>
      </c>
      <c r="AI127" t="s">
        <v>189</v>
      </c>
    </row>
    <row r="128" spans="1:54" x14ac:dyDescent="0.55000000000000004">
      <c r="A128">
        <v>208</v>
      </c>
      <c r="B128">
        <v>18.436</v>
      </c>
      <c r="C128">
        <v>708.65282999999999</v>
      </c>
      <c r="D128" t="s">
        <v>104</v>
      </c>
      <c r="E128" t="s">
        <v>1</v>
      </c>
      <c r="F128" t="s">
        <v>2</v>
      </c>
      <c r="G128">
        <v>0.46</v>
      </c>
      <c r="H128" t="b">
        <v>1</v>
      </c>
      <c r="I128">
        <v>13.42</v>
      </c>
      <c r="J128">
        <v>708.65111999999999</v>
      </c>
      <c r="K128" t="s">
        <v>105</v>
      </c>
      <c r="L128" t="s">
        <v>4</v>
      </c>
      <c r="N128" t="s">
        <v>106</v>
      </c>
      <c r="O128" t="s">
        <v>200</v>
      </c>
      <c r="P128">
        <v>410</v>
      </c>
      <c r="Q128" t="b">
        <v>0</v>
      </c>
      <c r="R128" t="b">
        <v>1</v>
      </c>
      <c r="S128" t="b">
        <v>1</v>
      </c>
      <c r="T128" t="s">
        <v>7</v>
      </c>
      <c r="U128" t="b">
        <v>0</v>
      </c>
      <c r="V128" t="b">
        <v>0</v>
      </c>
      <c r="W128">
        <v>208</v>
      </c>
      <c r="X128">
        <v>0</v>
      </c>
      <c r="Y128">
        <v>0</v>
      </c>
      <c r="Z128">
        <v>1</v>
      </c>
      <c r="AA128">
        <v>0.74099999999999999</v>
      </c>
      <c r="AB128">
        <v>0.85</v>
      </c>
      <c r="AC128">
        <v>0.94099999999999995</v>
      </c>
      <c r="AD128">
        <v>11</v>
      </c>
      <c r="AE128">
        <v>2</v>
      </c>
      <c r="AF128">
        <v>2.528</v>
      </c>
      <c r="AG128">
        <v>5034.92</v>
      </c>
      <c r="AH128" t="s">
        <v>160</v>
      </c>
      <c r="AI128" t="s">
        <v>190</v>
      </c>
    </row>
    <row r="129" spans="1:35" x14ac:dyDescent="0.55000000000000004">
      <c r="A129">
        <v>222</v>
      </c>
      <c r="B129">
        <v>17.009</v>
      </c>
      <c r="C129">
        <v>710.63091999999995</v>
      </c>
      <c r="D129" t="s">
        <v>191</v>
      </c>
      <c r="E129" t="s">
        <v>1</v>
      </c>
      <c r="F129" t="s">
        <v>2</v>
      </c>
      <c r="G129">
        <v>0.38</v>
      </c>
      <c r="H129" t="b">
        <v>1</v>
      </c>
      <c r="I129">
        <v>12.888</v>
      </c>
      <c r="J129">
        <v>710.63036999999997</v>
      </c>
      <c r="K129" t="s">
        <v>192</v>
      </c>
      <c r="L129" t="s">
        <v>193</v>
      </c>
      <c r="N129" t="s">
        <v>194</v>
      </c>
      <c r="O129" t="s">
        <v>205</v>
      </c>
      <c r="P129">
        <v>410</v>
      </c>
      <c r="Q129" t="b">
        <v>0</v>
      </c>
      <c r="R129" t="b">
        <v>1</v>
      </c>
      <c r="S129" t="b">
        <v>1</v>
      </c>
      <c r="T129" t="s">
        <v>7</v>
      </c>
      <c r="U129" t="b">
        <v>0</v>
      </c>
      <c r="V129" t="b">
        <v>0</v>
      </c>
      <c r="W129">
        <v>222</v>
      </c>
      <c r="X129">
        <v>0</v>
      </c>
      <c r="Y129">
        <v>0</v>
      </c>
      <c r="Z129">
        <v>1</v>
      </c>
      <c r="AA129">
        <v>0.76500000000000001</v>
      </c>
      <c r="AB129">
        <v>0.85699999999999998</v>
      </c>
      <c r="AC129">
        <v>0.97</v>
      </c>
      <c r="AD129">
        <v>11</v>
      </c>
      <c r="AE129">
        <v>2</v>
      </c>
      <c r="AF129">
        <v>2.548</v>
      </c>
      <c r="AG129">
        <v>1041.98</v>
      </c>
      <c r="AH129" t="s">
        <v>160</v>
      </c>
      <c r="AI129" t="s">
        <v>196</v>
      </c>
    </row>
    <row r="130" spans="1:35" x14ac:dyDescent="0.55000000000000004">
      <c r="A130">
        <v>237</v>
      </c>
      <c r="B130">
        <v>14.941000000000001</v>
      </c>
      <c r="C130">
        <v>712.53015000000005</v>
      </c>
      <c r="D130" t="s">
        <v>197</v>
      </c>
      <c r="E130" t="s">
        <v>32</v>
      </c>
      <c r="F130" t="s">
        <v>2</v>
      </c>
      <c r="G130">
        <v>0.38</v>
      </c>
      <c r="H130" t="b">
        <v>1</v>
      </c>
      <c r="I130">
        <v>10.207000000000001</v>
      </c>
      <c r="J130">
        <v>712.52868999999998</v>
      </c>
      <c r="K130" t="s">
        <v>198</v>
      </c>
      <c r="L130" t="s">
        <v>124</v>
      </c>
      <c r="N130" t="s">
        <v>199</v>
      </c>
      <c r="O130" t="s">
        <v>211</v>
      </c>
      <c r="P130">
        <v>410</v>
      </c>
      <c r="Q130" t="b">
        <v>0</v>
      </c>
      <c r="R130" t="b">
        <v>1</v>
      </c>
      <c r="S130" t="b">
        <v>1</v>
      </c>
      <c r="T130" t="s">
        <v>7</v>
      </c>
      <c r="U130" t="b">
        <v>0</v>
      </c>
      <c r="V130" t="b">
        <v>0</v>
      </c>
      <c r="W130">
        <v>237</v>
      </c>
      <c r="X130">
        <v>0</v>
      </c>
      <c r="Y130">
        <v>0</v>
      </c>
      <c r="Z130">
        <v>1</v>
      </c>
      <c r="AA130">
        <v>0.53900000000000003</v>
      </c>
      <c r="AB130">
        <v>0.57299999999999995</v>
      </c>
      <c r="AC130">
        <v>0.88500000000000001</v>
      </c>
      <c r="AD130">
        <v>3</v>
      </c>
      <c r="AE130">
        <v>2</v>
      </c>
      <c r="AF130">
        <v>2.403</v>
      </c>
      <c r="AG130">
        <v>405.94</v>
      </c>
      <c r="AH130" t="s">
        <v>160</v>
      </c>
      <c r="AI130" t="s">
        <v>201</v>
      </c>
    </row>
    <row r="131" spans="1:35" x14ac:dyDescent="0.55000000000000004">
      <c r="A131">
        <v>239</v>
      </c>
      <c r="B131">
        <v>17.853999999999999</v>
      </c>
      <c r="C131">
        <v>712.64666999999997</v>
      </c>
      <c r="D131" t="s">
        <v>202</v>
      </c>
      <c r="E131" t="s">
        <v>1</v>
      </c>
      <c r="F131" t="s">
        <v>2</v>
      </c>
      <c r="G131">
        <v>0.46</v>
      </c>
      <c r="H131" t="b">
        <v>1</v>
      </c>
      <c r="I131">
        <v>13.26</v>
      </c>
      <c r="J131">
        <v>712.64612</v>
      </c>
      <c r="K131" t="s">
        <v>203</v>
      </c>
      <c r="L131" t="s">
        <v>193</v>
      </c>
      <c r="N131" t="s">
        <v>204</v>
      </c>
      <c r="O131" t="s">
        <v>215</v>
      </c>
      <c r="P131">
        <v>410</v>
      </c>
      <c r="Q131" t="b">
        <v>0</v>
      </c>
      <c r="R131" t="b">
        <v>1</v>
      </c>
      <c r="S131" t="b">
        <v>1</v>
      </c>
      <c r="T131" t="s">
        <v>7</v>
      </c>
      <c r="U131" t="b">
        <v>0</v>
      </c>
      <c r="V131" t="b">
        <v>0</v>
      </c>
      <c r="W131">
        <v>239</v>
      </c>
      <c r="X131">
        <v>0</v>
      </c>
      <c r="Y131">
        <v>0</v>
      </c>
      <c r="Z131">
        <v>1</v>
      </c>
      <c r="AA131">
        <v>0.82699999999999996</v>
      </c>
      <c r="AB131">
        <v>0.89500000000000002</v>
      </c>
      <c r="AC131">
        <v>0.97299999999999998</v>
      </c>
      <c r="AD131">
        <v>12</v>
      </c>
      <c r="AE131">
        <v>2</v>
      </c>
      <c r="AF131">
        <v>2.5710000000000002</v>
      </c>
      <c r="AG131">
        <v>1347.14</v>
      </c>
      <c r="AH131" t="s">
        <v>160</v>
      </c>
      <c r="AI131" t="s">
        <v>206</v>
      </c>
    </row>
    <row r="132" spans="1:35" x14ac:dyDescent="0.55000000000000004">
      <c r="A132">
        <v>249</v>
      </c>
      <c r="B132">
        <v>12.143000000000001</v>
      </c>
      <c r="C132">
        <v>714.50847999999996</v>
      </c>
      <c r="D132" t="s">
        <v>207</v>
      </c>
      <c r="E132" t="s">
        <v>32</v>
      </c>
      <c r="F132" t="s">
        <v>2</v>
      </c>
      <c r="G132">
        <v>0.23</v>
      </c>
      <c r="H132" t="b">
        <v>1</v>
      </c>
      <c r="I132">
        <v>9.4770000000000003</v>
      </c>
      <c r="J132">
        <v>714.50787000000003</v>
      </c>
      <c r="K132" t="s">
        <v>208</v>
      </c>
      <c r="L132" t="s">
        <v>209</v>
      </c>
      <c r="N132" t="s">
        <v>210</v>
      </c>
      <c r="O132" t="s">
        <v>220</v>
      </c>
      <c r="P132">
        <v>410</v>
      </c>
      <c r="Q132" t="b">
        <v>0</v>
      </c>
      <c r="R132" t="b">
        <v>1</v>
      </c>
      <c r="S132" t="b">
        <v>1</v>
      </c>
      <c r="T132" t="s">
        <v>7</v>
      </c>
      <c r="U132" t="b">
        <v>0</v>
      </c>
      <c r="V132" t="b">
        <v>0</v>
      </c>
      <c r="W132">
        <v>249</v>
      </c>
      <c r="X132">
        <v>0</v>
      </c>
      <c r="Y132">
        <v>0</v>
      </c>
      <c r="Z132">
        <v>1</v>
      </c>
      <c r="AA132">
        <v>0.77400000000000002</v>
      </c>
      <c r="AB132">
        <v>0.83599999999999997</v>
      </c>
      <c r="AC132">
        <v>0.92</v>
      </c>
      <c r="AD132">
        <v>4</v>
      </c>
      <c r="AE132">
        <v>2</v>
      </c>
      <c r="AF132">
        <v>2.524</v>
      </c>
      <c r="AG132">
        <v>416.93</v>
      </c>
      <c r="AH132" t="s">
        <v>160</v>
      </c>
      <c r="AI132" t="s">
        <v>212</v>
      </c>
    </row>
    <row r="133" spans="1:35" x14ac:dyDescent="0.55000000000000004">
      <c r="A133">
        <v>250</v>
      </c>
      <c r="B133">
        <v>13.968</v>
      </c>
      <c r="C133">
        <v>714.50878999999998</v>
      </c>
      <c r="D133" t="s">
        <v>213</v>
      </c>
      <c r="E133" t="s">
        <v>32</v>
      </c>
      <c r="F133" t="s">
        <v>2</v>
      </c>
      <c r="G133">
        <v>0.46</v>
      </c>
      <c r="H133" t="b">
        <v>1</v>
      </c>
      <c r="I133">
        <v>9.2889999999999997</v>
      </c>
      <c r="J133">
        <v>714.50787000000003</v>
      </c>
      <c r="K133" t="s">
        <v>208</v>
      </c>
      <c r="L133" t="s">
        <v>139</v>
      </c>
      <c r="N133" t="s">
        <v>214</v>
      </c>
      <c r="O133" t="s">
        <v>224</v>
      </c>
      <c r="P133">
        <v>410</v>
      </c>
      <c r="Q133" t="b">
        <v>0</v>
      </c>
      <c r="R133" t="b">
        <v>1</v>
      </c>
      <c r="S133" t="b">
        <v>1</v>
      </c>
      <c r="T133" t="s">
        <v>7</v>
      </c>
      <c r="U133" t="b">
        <v>0</v>
      </c>
      <c r="V133" t="b">
        <v>0</v>
      </c>
      <c r="W133">
        <v>250</v>
      </c>
      <c r="X133">
        <v>0</v>
      </c>
      <c r="Y133">
        <v>0</v>
      </c>
      <c r="Z133">
        <v>0.99</v>
      </c>
      <c r="AA133">
        <v>0.85499999999999998</v>
      </c>
      <c r="AB133">
        <v>0.86699999999999999</v>
      </c>
      <c r="AC133">
        <v>0.90400000000000003</v>
      </c>
      <c r="AD133">
        <v>8</v>
      </c>
      <c r="AE133">
        <v>2</v>
      </c>
      <c r="AF133">
        <v>2.5390000000000001</v>
      </c>
      <c r="AG133">
        <v>8883.7199999999993</v>
      </c>
      <c r="AH133" t="s">
        <v>110</v>
      </c>
      <c r="AI133" t="s">
        <v>216</v>
      </c>
    </row>
    <row r="134" spans="1:35" x14ac:dyDescent="0.55000000000000004">
      <c r="A134">
        <v>263</v>
      </c>
      <c r="B134">
        <v>13.378</v>
      </c>
      <c r="C134">
        <v>716.52417000000003</v>
      </c>
      <c r="D134" t="s">
        <v>217</v>
      </c>
      <c r="E134" t="s">
        <v>32</v>
      </c>
      <c r="F134" t="s">
        <v>2</v>
      </c>
      <c r="G134">
        <v>0.46</v>
      </c>
      <c r="H134" t="b">
        <v>1</v>
      </c>
      <c r="I134">
        <v>10.191000000000001</v>
      </c>
      <c r="J134">
        <v>716.52362000000005</v>
      </c>
      <c r="K134" t="s">
        <v>218</v>
      </c>
      <c r="L134" t="s">
        <v>209</v>
      </c>
      <c r="N134" t="s">
        <v>219</v>
      </c>
      <c r="O134" t="s">
        <v>229</v>
      </c>
      <c r="P134">
        <v>420</v>
      </c>
      <c r="Q134" t="b">
        <v>0</v>
      </c>
      <c r="R134" t="b">
        <v>1</v>
      </c>
      <c r="S134" t="b">
        <v>1</v>
      </c>
      <c r="T134" t="s">
        <v>7</v>
      </c>
      <c r="U134" t="b">
        <v>0</v>
      </c>
      <c r="V134" t="b">
        <v>0</v>
      </c>
      <c r="W134">
        <v>263</v>
      </c>
      <c r="X134">
        <v>0</v>
      </c>
      <c r="Y134">
        <v>0</v>
      </c>
      <c r="Z134">
        <v>1</v>
      </c>
      <c r="AA134">
        <v>0.65100000000000002</v>
      </c>
      <c r="AB134">
        <v>0.66100000000000003</v>
      </c>
      <c r="AC134">
        <v>0.94099999999999995</v>
      </c>
      <c r="AD134">
        <v>4</v>
      </c>
      <c r="AE134">
        <v>2</v>
      </c>
      <c r="AF134">
        <v>2.4700000000000002</v>
      </c>
      <c r="AG134">
        <v>686.82</v>
      </c>
      <c r="AH134" t="s">
        <v>160</v>
      </c>
      <c r="AI134" t="s">
        <v>221</v>
      </c>
    </row>
    <row r="135" spans="1:35" x14ac:dyDescent="0.55000000000000004">
      <c r="A135">
        <v>264</v>
      </c>
      <c r="B135">
        <v>14.962</v>
      </c>
      <c r="C135">
        <v>716.52454</v>
      </c>
      <c r="D135" t="s">
        <v>222</v>
      </c>
      <c r="E135" t="s">
        <v>32</v>
      </c>
      <c r="F135" t="s">
        <v>2</v>
      </c>
      <c r="G135">
        <v>0.46</v>
      </c>
      <c r="H135" t="b">
        <v>1</v>
      </c>
      <c r="I135">
        <v>10.068</v>
      </c>
      <c r="J135">
        <v>716.52362000000005</v>
      </c>
      <c r="K135" t="s">
        <v>218</v>
      </c>
      <c r="L135" t="s">
        <v>139</v>
      </c>
      <c r="N135" t="s">
        <v>223</v>
      </c>
      <c r="O135" t="s">
        <v>234</v>
      </c>
      <c r="P135">
        <v>410</v>
      </c>
      <c r="Q135" t="b">
        <v>0</v>
      </c>
      <c r="R135" t="b">
        <v>1</v>
      </c>
      <c r="S135" t="b">
        <v>1</v>
      </c>
      <c r="T135" t="s">
        <v>7</v>
      </c>
      <c r="U135" t="b">
        <v>0</v>
      </c>
      <c r="V135" t="b">
        <v>0</v>
      </c>
      <c r="W135">
        <v>264</v>
      </c>
      <c r="X135">
        <v>0</v>
      </c>
      <c r="Y135">
        <v>0</v>
      </c>
      <c r="Z135">
        <v>1</v>
      </c>
      <c r="AA135">
        <v>0.82499999999999996</v>
      </c>
      <c r="AB135">
        <v>0.84799999999999998</v>
      </c>
      <c r="AC135">
        <v>0.90300000000000002</v>
      </c>
      <c r="AD135">
        <v>8</v>
      </c>
      <c r="AE135">
        <v>2</v>
      </c>
      <c r="AF135">
        <v>2.5310000000000001</v>
      </c>
      <c r="AG135">
        <v>4686.32</v>
      </c>
      <c r="AH135" t="s">
        <v>160</v>
      </c>
      <c r="AI135" t="s">
        <v>225</v>
      </c>
    </row>
    <row r="136" spans="1:35" x14ac:dyDescent="0.55000000000000004">
      <c r="A136">
        <v>268</v>
      </c>
      <c r="B136">
        <v>9.5359999999999996</v>
      </c>
      <c r="C136">
        <v>717.51928999999996</v>
      </c>
      <c r="D136" t="s">
        <v>226</v>
      </c>
      <c r="E136" t="s">
        <v>1</v>
      </c>
      <c r="F136" t="s">
        <v>2</v>
      </c>
      <c r="G136">
        <v>0.46</v>
      </c>
      <c r="H136" t="b">
        <v>1</v>
      </c>
      <c r="I136">
        <v>8.0069999999999997</v>
      </c>
      <c r="J136">
        <v>717.51880000000006</v>
      </c>
      <c r="K136" t="s">
        <v>227</v>
      </c>
      <c r="L136" t="s">
        <v>181</v>
      </c>
      <c r="N136" t="s">
        <v>228</v>
      </c>
      <c r="O136" t="s">
        <v>238</v>
      </c>
      <c r="P136">
        <v>410</v>
      </c>
      <c r="Q136" t="b">
        <v>0</v>
      </c>
      <c r="R136" t="b">
        <v>1</v>
      </c>
      <c r="S136" t="b">
        <v>1</v>
      </c>
      <c r="T136" t="s">
        <v>7</v>
      </c>
      <c r="U136" t="b">
        <v>0</v>
      </c>
      <c r="V136" t="b">
        <v>0</v>
      </c>
      <c r="W136">
        <v>268</v>
      </c>
      <c r="X136">
        <v>0</v>
      </c>
      <c r="Y136">
        <v>0</v>
      </c>
      <c r="Z136">
        <v>1</v>
      </c>
      <c r="AA136">
        <v>0.77500000000000002</v>
      </c>
      <c r="AB136">
        <v>0.84399999999999997</v>
      </c>
      <c r="AC136">
        <v>0.94399999999999995</v>
      </c>
      <c r="AD136">
        <v>4</v>
      </c>
      <c r="AE136">
        <v>1</v>
      </c>
      <c r="AF136">
        <v>1.893</v>
      </c>
      <c r="AG136">
        <v>1250.94</v>
      </c>
      <c r="AH136" t="s">
        <v>160</v>
      </c>
      <c r="AI136" t="s">
        <v>230</v>
      </c>
    </row>
    <row r="137" spans="1:35" x14ac:dyDescent="0.55000000000000004">
      <c r="A137">
        <v>275</v>
      </c>
      <c r="B137">
        <v>14.647</v>
      </c>
      <c r="C137">
        <v>718.53931</v>
      </c>
      <c r="D137" t="s">
        <v>231</v>
      </c>
      <c r="E137" t="s">
        <v>32</v>
      </c>
      <c r="F137" t="s">
        <v>2</v>
      </c>
      <c r="G137">
        <v>0.23</v>
      </c>
      <c r="H137" t="b">
        <v>1</v>
      </c>
      <c r="I137">
        <v>10.336</v>
      </c>
      <c r="J137">
        <v>718.53917999999999</v>
      </c>
      <c r="K137" t="s">
        <v>232</v>
      </c>
      <c r="L137" t="s">
        <v>209</v>
      </c>
      <c r="N137" t="s">
        <v>233</v>
      </c>
      <c r="O137" t="s">
        <v>243</v>
      </c>
      <c r="P137">
        <v>410</v>
      </c>
      <c r="Q137" t="b">
        <v>0</v>
      </c>
      <c r="R137" t="b">
        <v>1</v>
      </c>
      <c r="S137" t="b">
        <v>1</v>
      </c>
      <c r="T137" t="s">
        <v>7</v>
      </c>
      <c r="U137" t="b">
        <v>0</v>
      </c>
      <c r="V137" t="b">
        <v>0</v>
      </c>
      <c r="W137">
        <v>275</v>
      </c>
      <c r="X137">
        <v>0</v>
      </c>
      <c r="Y137">
        <v>0</v>
      </c>
      <c r="Z137">
        <v>1</v>
      </c>
      <c r="AA137">
        <v>0.89600000000000002</v>
      </c>
      <c r="AB137">
        <v>0.86599999999999999</v>
      </c>
      <c r="AC137">
        <v>0.91600000000000004</v>
      </c>
      <c r="AD137">
        <v>4</v>
      </c>
      <c r="AE137">
        <v>2</v>
      </c>
      <c r="AF137">
        <v>2.556</v>
      </c>
      <c r="AG137">
        <v>1253.93</v>
      </c>
      <c r="AH137" t="s">
        <v>160</v>
      </c>
      <c r="AI137" t="s">
        <v>235</v>
      </c>
    </row>
    <row r="138" spans="1:35" x14ac:dyDescent="0.55000000000000004">
      <c r="A138">
        <v>276</v>
      </c>
      <c r="B138">
        <v>15.961</v>
      </c>
      <c r="C138">
        <v>718.53961000000004</v>
      </c>
      <c r="D138" t="s">
        <v>236</v>
      </c>
      <c r="E138" t="s">
        <v>32</v>
      </c>
      <c r="F138" t="s">
        <v>2</v>
      </c>
      <c r="G138">
        <v>0.38</v>
      </c>
      <c r="H138" t="b">
        <v>1</v>
      </c>
      <c r="I138">
        <v>11.084</v>
      </c>
      <c r="J138">
        <v>718.53917999999999</v>
      </c>
      <c r="K138" t="s">
        <v>232</v>
      </c>
      <c r="L138" t="s">
        <v>139</v>
      </c>
      <c r="N138" t="s">
        <v>237</v>
      </c>
      <c r="O138" t="s">
        <v>248</v>
      </c>
      <c r="P138">
        <v>410</v>
      </c>
      <c r="Q138" t="b">
        <v>0</v>
      </c>
      <c r="R138" t="b">
        <v>1</v>
      </c>
      <c r="S138" t="b">
        <v>1</v>
      </c>
      <c r="T138" t="s">
        <v>7</v>
      </c>
      <c r="U138" t="b">
        <v>0</v>
      </c>
      <c r="V138" t="b">
        <v>0</v>
      </c>
      <c r="W138">
        <v>276</v>
      </c>
      <c r="X138">
        <v>0</v>
      </c>
      <c r="Y138">
        <v>0</v>
      </c>
      <c r="Z138">
        <v>1</v>
      </c>
      <c r="AA138">
        <v>0.77100000000000002</v>
      </c>
      <c r="AB138">
        <v>0.82599999999999996</v>
      </c>
      <c r="AC138">
        <v>0.91300000000000003</v>
      </c>
      <c r="AD138">
        <v>7</v>
      </c>
      <c r="AE138">
        <v>2</v>
      </c>
      <c r="AF138">
        <v>2.5179999999999998</v>
      </c>
      <c r="AG138">
        <v>707.23</v>
      </c>
      <c r="AH138" t="s">
        <v>160</v>
      </c>
      <c r="AI138" t="s">
        <v>239</v>
      </c>
    </row>
    <row r="139" spans="1:35" x14ac:dyDescent="0.55000000000000004">
      <c r="A139">
        <v>281</v>
      </c>
      <c r="B139">
        <v>11.565</v>
      </c>
      <c r="C139">
        <v>719.53461000000004</v>
      </c>
      <c r="D139" t="s">
        <v>240</v>
      </c>
      <c r="E139" t="s">
        <v>1</v>
      </c>
      <c r="F139" t="s">
        <v>2</v>
      </c>
      <c r="G139">
        <v>0.23</v>
      </c>
      <c r="H139" t="b">
        <v>1</v>
      </c>
      <c r="I139">
        <v>8.3940000000000001</v>
      </c>
      <c r="J139">
        <v>719.53448000000003</v>
      </c>
      <c r="K139" t="s">
        <v>241</v>
      </c>
      <c r="L139" t="s">
        <v>181</v>
      </c>
      <c r="N139" t="s">
        <v>242</v>
      </c>
      <c r="O139" t="s">
        <v>253</v>
      </c>
      <c r="P139">
        <v>420</v>
      </c>
      <c r="Q139" t="b">
        <v>0</v>
      </c>
      <c r="R139" t="b">
        <v>1</v>
      </c>
      <c r="S139" t="b">
        <v>1</v>
      </c>
      <c r="T139" t="s">
        <v>7</v>
      </c>
      <c r="U139" t="b">
        <v>0</v>
      </c>
      <c r="V139" t="b">
        <v>0</v>
      </c>
      <c r="W139">
        <v>281</v>
      </c>
      <c r="X139">
        <v>0</v>
      </c>
      <c r="Y139">
        <v>0</v>
      </c>
      <c r="Z139">
        <v>1</v>
      </c>
      <c r="AA139">
        <v>0.88800000000000001</v>
      </c>
      <c r="AB139">
        <v>0.94199999999999995</v>
      </c>
      <c r="AC139">
        <v>0.93400000000000005</v>
      </c>
      <c r="AD139">
        <v>5</v>
      </c>
      <c r="AE139">
        <v>2</v>
      </c>
      <c r="AF139">
        <v>2.5779999999999998</v>
      </c>
      <c r="AG139">
        <v>17642.63</v>
      </c>
      <c r="AH139" t="s">
        <v>160</v>
      </c>
      <c r="AI139" t="s">
        <v>244</v>
      </c>
    </row>
    <row r="140" spans="1:35" x14ac:dyDescent="0.55000000000000004">
      <c r="A140">
        <v>288</v>
      </c>
      <c r="B140">
        <v>13.342000000000001</v>
      </c>
      <c r="C140">
        <v>720.49712999999997</v>
      </c>
      <c r="D140" t="s">
        <v>245</v>
      </c>
      <c r="E140" t="s">
        <v>32</v>
      </c>
      <c r="F140" t="s">
        <v>2</v>
      </c>
      <c r="G140">
        <v>0.46</v>
      </c>
      <c r="H140" t="b">
        <v>1</v>
      </c>
      <c r="I140">
        <v>9.327</v>
      </c>
      <c r="J140">
        <v>720.49738000000002</v>
      </c>
      <c r="K140" t="s">
        <v>246</v>
      </c>
      <c r="L140" t="s">
        <v>124</v>
      </c>
      <c r="N140" t="s">
        <v>247</v>
      </c>
      <c r="O140" t="s">
        <v>258</v>
      </c>
      <c r="P140">
        <v>410</v>
      </c>
      <c r="Q140" t="b">
        <v>0</v>
      </c>
      <c r="R140" t="b">
        <v>1</v>
      </c>
      <c r="S140" t="b">
        <v>1</v>
      </c>
      <c r="T140" t="s">
        <v>7</v>
      </c>
      <c r="U140" t="b">
        <v>0</v>
      </c>
      <c r="V140" t="b">
        <v>0</v>
      </c>
      <c r="W140">
        <v>288</v>
      </c>
      <c r="X140">
        <v>0</v>
      </c>
      <c r="Y140">
        <v>0</v>
      </c>
      <c r="Z140">
        <v>1</v>
      </c>
      <c r="AA140">
        <v>0.61399999999999999</v>
      </c>
      <c r="AB140">
        <v>0.66500000000000004</v>
      </c>
      <c r="AC140">
        <v>0.92800000000000005</v>
      </c>
      <c r="AD140">
        <v>3</v>
      </c>
      <c r="AE140">
        <v>2</v>
      </c>
      <c r="AF140">
        <v>2.4580000000000002</v>
      </c>
      <c r="AG140">
        <v>996.02</v>
      </c>
      <c r="AH140" t="s">
        <v>160</v>
      </c>
      <c r="AI140" t="s">
        <v>249</v>
      </c>
    </row>
    <row r="141" spans="1:35" x14ac:dyDescent="0.55000000000000004">
      <c r="A141">
        <v>293</v>
      </c>
      <c r="B141">
        <v>12.221</v>
      </c>
      <c r="C141">
        <v>721.55078000000003</v>
      </c>
      <c r="D141" t="s">
        <v>250</v>
      </c>
      <c r="E141" t="s">
        <v>1</v>
      </c>
      <c r="F141" t="s">
        <v>2</v>
      </c>
      <c r="G141">
        <v>0.46</v>
      </c>
      <c r="H141" t="b">
        <v>1</v>
      </c>
      <c r="I141">
        <v>8.452</v>
      </c>
      <c r="J141">
        <v>721.55011000000002</v>
      </c>
      <c r="K141" t="s">
        <v>251</v>
      </c>
      <c r="L141" t="s">
        <v>181</v>
      </c>
      <c r="N141" t="s">
        <v>252</v>
      </c>
      <c r="O141" t="s">
        <v>262</v>
      </c>
      <c r="P141">
        <v>410</v>
      </c>
      <c r="Q141" t="b">
        <v>0</v>
      </c>
      <c r="R141" t="b">
        <v>1</v>
      </c>
      <c r="S141" t="b">
        <v>1</v>
      </c>
      <c r="T141" t="s">
        <v>7</v>
      </c>
      <c r="U141" t="b">
        <v>0</v>
      </c>
      <c r="V141" t="b">
        <v>0</v>
      </c>
      <c r="W141">
        <v>293</v>
      </c>
      <c r="X141">
        <v>0</v>
      </c>
      <c r="Y141">
        <v>0</v>
      </c>
      <c r="Z141">
        <v>1</v>
      </c>
      <c r="AA141">
        <v>0.68500000000000005</v>
      </c>
      <c r="AB141">
        <v>0.81299999999999994</v>
      </c>
      <c r="AC141">
        <v>0.91200000000000003</v>
      </c>
      <c r="AD141">
        <v>3</v>
      </c>
      <c r="AE141">
        <v>1</v>
      </c>
      <c r="AF141">
        <v>1.8540000000000001</v>
      </c>
      <c r="AG141">
        <v>626.25</v>
      </c>
      <c r="AH141" t="s">
        <v>160</v>
      </c>
      <c r="AI141" t="s">
        <v>254</v>
      </c>
    </row>
    <row r="142" spans="1:35" x14ac:dyDescent="0.55000000000000004">
      <c r="A142">
        <v>299</v>
      </c>
      <c r="B142">
        <v>13.553000000000001</v>
      </c>
      <c r="C142">
        <v>722.51342999999997</v>
      </c>
      <c r="D142" t="s">
        <v>255</v>
      </c>
      <c r="E142" t="s">
        <v>32</v>
      </c>
      <c r="F142" t="s">
        <v>2</v>
      </c>
      <c r="G142">
        <v>0.38</v>
      </c>
      <c r="H142" t="b">
        <v>1</v>
      </c>
      <c r="I142">
        <v>9.4179999999999993</v>
      </c>
      <c r="J142">
        <v>722.51300000000003</v>
      </c>
      <c r="K142" t="s">
        <v>256</v>
      </c>
      <c r="L142" t="s">
        <v>124</v>
      </c>
      <c r="N142" t="s">
        <v>257</v>
      </c>
      <c r="O142" t="s">
        <v>267</v>
      </c>
      <c r="P142">
        <v>410</v>
      </c>
      <c r="Q142" t="b">
        <v>0</v>
      </c>
      <c r="R142" t="b">
        <v>1</v>
      </c>
      <c r="S142" t="b">
        <v>1</v>
      </c>
      <c r="T142" t="s">
        <v>7</v>
      </c>
      <c r="U142" t="b">
        <v>0</v>
      </c>
      <c r="V142" t="b">
        <v>0</v>
      </c>
      <c r="W142">
        <v>299</v>
      </c>
      <c r="X142">
        <v>0</v>
      </c>
      <c r="Y142">
        <v>0</v>
      </c>
      <c r="Z142">
        <v>1</v>
      </c>
      <c r="AA142">
        <v>0.47799999999999998</v>
      </c>
      <c r="AB142">
        <v>0.51100000000000001</v>
      </c>
      <c r="AC142">
        <v>0.88200000000000001</v>
      </c>
      <c r="AD142">
        <v>3</v>
      </c>
      <c r="AE142">
        <v>2</v>
      </c>
      <c r="AF142">
        <v>2.3740000000000001</v>
      </c>
      <c r="AG142">
        <v>325.22000000000003</v>
      </c>
      <c r="AH142" t="s">
        <v>160</v>
      </c>
      <c r="AI142" t="s">
        <v>259</v>
      </c>
    </row>
    <row r="143" spans="1:35" x14ac:dyDescent="0.55000000000000004">
      <c r="A143">
        <v>300</v>
      </c>
      <c r="B143">
        <v>14.28</v>
      </c>
      <c r="C143" s="64">
        <v>722.51397999999995</v>
      </c>
      <c r="D143" t="s">
        <v>260</v>
      </c>
      <c r="E143" t="s">
        <v>32</v>
      </c>
      <c r="F143" t="s">
        <v>2</v>
      </c>
      <c r="G143">
        <v>0.46</v>
      </c>
      <c r="H143" t="b">
        <v>1</v>
      </c>
      <c r="I143">
        <v>9.8409999999999993</v>
      </c>
      <c r="J143">
        <v>722.51300000000003</v>
      </c>
      <c r="K143" t="s">
        <v>256</v>
      </c>
      <c r="L143" t="s">
        <v>124</v>
      </c>
      <c r="N143" t="s">
        <v>261</v>
      </c>
      <c r="O143" t="s">
        <v>272</v>
      </c>
      <c r="P143">
        <v>410</v>
      </c>
      <c r="Q143" t="b">
        <v>0</v>
      </c>
      <c r="R143" t="b">
        <v>1</v>
      </c>
      <c r="S143" t="b">
        <v>1</v>
      </c>
      <c r="T143" t="s">
        <v>7</v>
      </c>
      <c r="U143" t="b">
        <v>0</v>
      </c>
      <c r="V143" t="b">
        <v>0</v>
      </c>
      <c r="W143">
        <v>300</v>
      </c>
      <c r="X143">
        <v>0</v>
      </c>
      <c r="Y143">
        <v>0</v>
      </c>
      <c r="Z143">
        <v>1</v>
      </c>
      <c r="AA143">
        <v>0.84</v>
      </c>
      <c r="AB143">
        <v>0.83299999999999996</v>
      </c>
      <c r="AC143">
        <v>0.89900000000000002</v>
      </c>
      <c r="AD143">
        <v>3</v>
      </c>
      <c r="AE143">
        <v>2</v>
      </c>
      <c r="AF143">
        <v>2.5289999999999999</v>
      </c>
      <c r="AG143">
        <v>32210.68</v>
      </c>
      <c r="AH143" t="s">
        <v>160</v>
      </c>
      <c r="AI143" t="s">
        <v>263</v>
      </c>
    </row>
    <row r="144" spans="1:35" x14ac:dyDescent="0.55000000000000004">
      <c r="A144">
        <v>320</v>
      </c>
      <c r="B144">
        <v>14.52</v>
      </c>
      <c r="C144">
        <v>724.52930000000003</v>
      </c>
      <c r="D144" t="s">
        <v>264</v>
      </c>
      <c r="E144" t="s">
        <v>32</v>
      </c>
      <c r="F144" t="s">
        <v>2</v>
      </c>
      <c r="G144">
        <v>0.46</v>
      </c>
      <c r="H144" t="b">
        <v>1</v>
      </c>
      <c r="I144">
        <v>9.7319999999999993</v>
      </c>
      <c r="J144">
        <v>724.52868999999998</v>
      </c>
      <c r="K144" t="s">
        <v>265</v>
      </c>
      <c r="L144" t="s">
        <v>124</v>
      </c>
      <c r="N144" t="s">
        <v>266</v>
      </c>
      <c r="O144" t="s">
        <v>272</v>
      </c>
      <c r="P144">
        <v>410</v>
      </c>
      <c r="Q144" t="b">
        <v>0</v>
      </c>
      <c r="R144" t="b">
        <v>1</v>
      </c>
      <c r="S144" t="b">
        <v>1</v>
      </c>
      <c r="T144" t="s">
        <v>7</v>
      </c>
      <c r="U144" t="b">
        <v>0</v>
      </c>
      <c r="V144" t="b">
        <v>0</v>
      </c>
      <c r="W144">
        <v>320</v>
      </c>
      <c r="X144">
        <v>0</v>
      </c>
      <c r="Y144">
        <v>0</v>
      </c>
      <c r="Z144">
        <v>1</v>
      </c>
      <c r="AA144">
        <v>0.77200000000000002</v>
      </c>
      <c r="AB144">
        <v>0.8</v>
      </c>
      <c r="AC144">
        <v>0.92</v>
      </c>
      <c r="AD144">
        <v>3</v>
      </c>
      <c r="AE144">
        <v>2</v>
      </c>
      <c r="AF144">
        <v>2.516</v>
      </c>
      <c r="AG144">
        <v>2539.6799999999998</v>
      </c>
      <c r="AH144" t="s">
        <v>160</v>
      </c>
      <c r="AI144" t="s">
        <v>268</v>
      </c>
    </row>
    <row r="145" spans="1:35" x14ac:dyDescent="0.55000000000000004">
      <c r="A145">
        <v>336</v>
      </c>
      <c r="B145">
        <v>14.196</v>
      </c>
      <c r="C145">
        <v>726.54340000000002</v>
      </c>
      <c r="D145" t="s">
        <v>269</v>
      </c>
      <c r="E145" t="s">
        <v>32</v>
      </c>
      <c r="F145" t="s">
        <v>2</v>
      </c>
      <c r="G145">
        <v>0.46</v>
      </c>
      <c r="H145" t="b">
        <v>1</v>
      </c>
      <c r="I145">
        <v>10.701000000000001</v>
      </c>
      <c r="J145">
        <v>726.54431</v>
      </c>
      <c r="K145" t="s">
        <v>270</v>
      </c>
      <c r="L145" t="s">
        <v>124</v>
      </c>
      <c r="N145" t="s">
        <v>271</v>
      </c>
      <c r="O145" t="s">
        <v>277</v>
      </c>
      <c r="P145">
        <v>410</v>
      </c>
      <c r="Q145" t="b">
        <v>0</v>
      </c>
      <c r="R145" t="b">
        <v>1</v>
      </c>
      <c r="S145" t="b">
        <v>1</v>
      </c>
      <c r="T145" t="s">
        <v>7</v>
      </c>
      <c r="U145" t="b">
        <v>0</v>
      </c>
      <c r="V145" t="b">
        <v>0</v>
      </c>
      <c r="W145">
        <v>336</v>
      </c>
      <c r="X145">
        <v>0</v>
      </c>
      <c r="Y145">
        <v>0</v>
      </c>
      <c r="Z145">
        <v>1</v>
      </c>
      <c r="AA145">
        <v>0.83499999999999996</v>
      </c>
      <c r="AB145">
        <v>0.81899999999999995</v>
      </c>
      <c r="AC145">
        <v>0.872</v>
      </c>
      <c r="AD145">
        <v>3</v>
      </c>
      <c r="AE145">
        <v>2</v>
      </c>
      <c r="AF145">
        <v>2.5129999999999999</v>
      </c>
      <c r="AG145">
        <v>2040.89</v>
      </c>
      <c r="AH145" t="s">
        <v>160</v>
      </c>
      <c r="AI145" t="s">
        <v>273</v>
      </c>
    </row>
    <row r="146" spans="1:35" x14ac:dyDescent="0.55000000000000004">
      <c r="A146">
        <v>337</v>
      </c>
      <c r="B146">
        <v>15.651</v>
      </c>
      <c r="C146">
        <v>726.54376000000002</v>
      </c>
      <c r="D146" t="s">
        <v>269</v>
      </c>
      <c r="E146" t="s">
        <v>32</v>
      </c>
      <c r="F146" t="s">
        <v>2</v>
      </c>
      <c r="G146">
        <v>0.46</v>
      </c>
      <c r="H146" t="b">
        <v>1</v>
      </c>
      <c r="I146">
        <v>10.701000000000001</v>
      </c>
      <c r="J146">
        <v>726.54431</v>
      </c>
      <c r="K146" t="s">
        <v>270</v>
      </c>
      <c r="L146" t="s">
        <v>124</v>
      </c>
      <c r="N146" t="s">
        <v>271</v>
      </c>
      <c r="O146" t="s">
        <v>282</v>
      </c>
      <c r="P146">
        <v>410</v>
      </c>
      <c r="Q146" t="b">
        <v>0</v>
      </c>
      <c r="R146" t="b">
        <v>1</v>
      </c>
      <c r="S146" t="b">
        <v>1</v>
      </c>
      <c r="T146" t="s">
        <v>7</v>
      </c>
      <c r="U146" t="b">
        <v>0</v>
      </c>
      <c r="V146" t="b">
        <v>0</v>
      </c>
      <c r="W146">
        <v>337</v>
      </c>
      <c r="X146">
        <v>0</v>
      </c>
      <c r="Y146">
        <v>0</v>
      </c>
      <c r="Z146">
        <v>0.99</v>
      </c>
      <c r="AA146">
        <v>0.85399999999999998</v>
      </c>
      <c r="AB146">
        <v>0.82899999999999996</v>
      </c>
      <c r="AC146">
        <v>0.877</v>
      </c>
      <c r="AD146">
        <v>3</v>
      </c>
      <c r="AE146">
        <v>2</v>
      </c>
      <c r="AF146">
        <v>2.5190000000000001</v>
      </c>
      <c r="AG146">
        <v>18013.98</v>
      </c>
      <c r="AH146" t="s">
        <v>110</v>
      </c>
      <c r="AI146" t="s">
        <v>274</v>
      </c>
    </row>
    <row r="147" spans="1:35" x14ac:dyDescent="0.55000000000000004">
      <c r="A147">
        <v>338</v>
      </c>
      <c r="B147">
        <v>15.000999999999999</v>
      </c>
      <c r="C147">
        <v>726.54485999999997</v>
      </c>
      <c r="D147" t="s">
        <v>275</v>
      </c>
      <c r="E147" t="s">
        <v>32</v>
      </c>
      <c r="F147" t="s">
        <v>2</v>
      </c>
      <c r="G147">
        <v>0.38</v>
      </c>
      <c r="H147" t="b">
        <v>1</v>
      </c>
      <c r="I147">
        <v>10.170999999999999</v>
      </c>
      <c r="J147">
        <v>726.54431</v>
      </c>
      <c r="K147" t="s">
        <v>270</v>
      </c>
      <c r="L147" t="s">
        <v>124</v>
      </c>
      <c r="N147" t="s">
        <v>276</v>
      </c>
      <c r="O147" t="s">
        <v>287</v>
      </c>
      <c r="P147">
        <v>410</v>
      </c>
      <c r="Q147" t="b">
        <v>0</v>
      </c>
      <c r="R147" t="b">
        <v>1</v>
      </c>
      <c r="S147" t="b">
        <v>1</v>
      </c>
      <c r="T147" t="s">
        <v>7</v>
      </c>
      <c r="U147" t="b">
        <v>0</v>
      </c>
      <c r="V147" t="b">
        <v>0</v>
      </c>
      <c r="W147">
        <v>338</v>
      </c>
      <c r="X147">
        <v>0</v>
      </c>
      <c r="Y147">
        <v>0</v>
      </c>
      <c r="Z147">
        <v>1</v>
      </c>
      <c r="AA147">
        <v>0.52</v>
      </c>
      <c r="AB147">
        <v>0.55700000000000005</v>
      </c>
      <c r="AC147">
        <v>0.89</v>
      </c>
      <c r="AD147">
        <v>3</v>
      </c>
      <c r="AE147">
        <v>2</v>
      </c>
      <c r="AF147">
        <v>2.3980000000000001</v>
      </c>
      <c r="AG147">
        <v>273.27999999999997</v>
      </c>
      <c r="AH147" t="s">
        <v>171</v>
      </c>
      <c r="AI147" t="s">
        <v>278</v>
      </c>
    </row>
    <row r="148" spans="1:35" x14ac:dyDescent="0.55000000000000004">
      <c r="A148">
        <v>348</v>
      </c>
      <c r="B148">
        <v>12.909000000000001</v>
      </c>
      <c r="C148">
        <v>728.52440999999999</v>
      </c>
      <c r="D148" t="s">
        <v>279</v>
      </c>
      <c r="E148" t="s">
        <v>32</v>
      </c>
      <c r="F148" t="s">
        <v>2</v>
      </c>
      <c r="G148">
        <v>0.38</v>
      </c>
      <c r="H148" t="b">
        <v>1</v>
      </c>
      <c r="I148">
        <v>9.6890000000000001</v>
      </c>
      <c r="J148">
        <v>728.52362000000005</v>
      </c>
      <c r="K148" t="s">
        <v>280</v>
      </c>
      <c r="L148" t="s">
        <v>209</v>
      </c>
      <c r="N148" t="s">
        <v>281</v>
      </c>
      <c r="O148" t="s">
        <v>287</v>
      </c>
      <c r="P148">
        <v>410</v>
      </c>
      <c r="Q148" t="b">
        <v>0</v>
      </c>
      <c r="R148" t="b">
        <v>1</v>
      </c>
      <c r="S148" t="b">
        <v>1</v>
      </c>
      <c r="T148" t="s">
        <v>7</v>
      </c>
      <c r="U148" t="b">
        <v>0</v>
      </c>
      <c r="V148" t="b">
        <v>0</v>
      </c>
      <c r="W148">
        <v>348</v>
      </c>
      <c r="X148">
        <v>0</v>
      </c>
      <c r="Y148">
        <v>0</v>
      </c>
      <c r="Z148">
        <v>1</v>
      </c>
      <c r="AA148">
        <v>0.754</v>
      </c>
      <c r="AB148">
        <v>0.77900000000000003</v>
      </c>
      <c r="AC148">
        <v>0.92900000000000005</v>
      </c>
      <c r="AD148">
        <v>5</v>
      </c>
      <c r="AE148">
        <v>2</v>
      </c>
      <c r="AF148">
        <v>2.512</v>
      </c>
      <c r="AG148">
        <v>520.76</v>
      </c>
      <c r="AH148" t="s">
        <v>160</v>
      </c>
      <c r="AI148" t="s">
        <v>283</v>
      </c>
    </row>
    <row r="149" spans="1:35" x14ac:dyDescent="0.55000000000000004">
      <c r="A149">
        <v>350</v>
      </c>
      <c r="B149">
        <v>14.401</v>
      </c>
      <c r="C149">
        <v>728.56035999999995</v>
      </c>
      <c r="D149" t="s">
        <v>284</v>
      </c>
      <c r="E149" t="s">
        <v>32</v>
      </c>
      <c r="F149" t="s">
        <v>2</v>
      </c>
      <c r="G149">
        <v>0.46</v>
      </c>
      <c r="H149" t="b">
        <v>1</v>
      </c>
      <c r="I149">
        <v>10.878</v>
      </c>
      <c r="J149">
        <v>728.56</v>
      </c>
      <c r="K149" t="s">
        <v>285</v>
      </c>
      <c r="L149" t="s">
        <v>124</v>
      </c>
      <c r="N149" t="s">
        <v>286</v>
      </c>
      <c r="O149" t="s">
        <v>294</v>
      </c>
      <c r="P149">
        <v>410</v>
      </c>
      <c r="Q149" t="b">
        <v>0</v>
      </c>
      <c r="R149" t="b">
        <v>1</v>
      </c>
      <c r="S149" t="b">
        <v>1</v>
      </c>
      <c r="T149" t="s">
        <v>7</v>
      </c>
      <c r="U149" t="b">
        <v>0</v>
      </c>
      <c r="V149" t="b">
        <v>0</v>
      </c>
      <c r="W149">
        <v>350</v>
      </c>
      <c r="X149">
        <v>0</v>
      </c>
      <c r="Y149">
        <v>0</v>
      </c>
      <c r="Z149">
        <v>1</v>
      </c>
      <c r="AA149">
        <v>0.84699999999999998</v>
      </c>
      <c r="AB149">
        <v>0.84399999999999997</v>
      </c>
      <c r="AC149">
        <v>0.89</v>
      </c>
      <c r="AD149">
        <v>3</v>
      </c>
      <c r="AE149">
        <v>2</v>
      </c>
      <c r="AF149">
        <v>2.5289999999999999</v>
      </c>
      <c r="AG149">
        <v>1710.08</v>
      </c>
      <c r="AH149" t="s">
        <v>288</v>
      </c>
      <c r="AI149" t="s">
        <v>289</v>
      </c>
    </row>
    <row r="150" spans="1:35" x14ac:dyDescent="0.55000000000000004">
      <c r="A150">
        <v>351</v>
      </c>
      <c r="B150">
        <v>15.817</v>
      </c>
      <c r="C150">
        <v>728.56079</v>
      </c>
      <c r="D150" t="s">
        <v>284</v>
      </c>
      <c r="E150" t="s">
        <v>32</v>
      </c>
      <c r="F150" t="s">
        <v>2</v>
      </c>
      <c r="G150">
        <v>0.38</v>
      </c>
      <c r="H150" t="b">
        <v>1</v>
      </c>
      <c r="I150">
        <v>10.878</v>
      </c>
      <c r="J150">
        <v>728.56</v>
      </c>
      <c r="K150" t="s">
        <v>285</v>
      </c>
      <c r="L150" t="s">
        <v>124</v>
      </c>
      <c r="N150" t="s">
        <v>286</v>
      </c>
      <c r="O150" t="s">
        <v>294</v>
      </c>
      <c r="P150">
        <v>410</v>
      </c>
      <c r="Q150" t="b">
        <v>0</v>
      </c>
      <c r="R150" t="b">
        <v>1</v>
      </c>
      <c r="S150" t="b">
        <v>1</v>
      </c>
      <c r="T150" t="s">
        <v>7</v>
      </c>
      <c r="U150" t="b">
        <v>0</v>
      </c>
      <c r="V150" t="b">
        <v>0</v>
      </c>
      <c r="W150">
        <v>351</v>
      </c>
      <c r="X150">
        <v>0</v>
      </c>
      <c r="Y150">
        <v>0</v>
      </c>
      <c r="Z150">
        <v>1</v>
      </c>
      <c r="AA150">
        <v>0.76400000000000001</v>
      </c>
      <c r="AB150">
        <v>0.78600000000000003</v>
      </c>
      <c r="AC150">
        <v>0.873</v>
      </c>
      <c r="AD150">
        <v>3</v>
      </c>
      <c r="AE150">
        <v>2</v>
      </c>
      <c r="AF150">
        <v>2.492</v>
      </c>
      <c r="AG150">
        <v>824.66</v>
      </c>
      <c r="AH150" t="s">
        <v>290</v>
      </c>
      <c r="AI150" t="s">
        <v>291</v>
      </c>
    </row>
    <row r="151" spans="1:35" x14ac:dyDescent="0.55000000000000004">
      <c r="A151">
        <v>352</v>
      </c>
      <c r="B151">
        <v>16.452000000000002</v>
      </c>
      <c r="C151">
        <v>728.56079</v>
      </c>
      <c r="D151" t="s">
        <v>292</v>
      </c>
      <c r="E151" t="s">
        <v>32</v>
      </c>
      <c r="F151" t="s">
        <v>2</v>
      </c>
      <c r="G151">
        <v>0.46</v>
      </c>
      <c r="H151" t="b">
        <v>1</v>
      </c>
      <c r="I151">
        <v>11.613</v>
      </c>
      <c r="J151">
        <v>728.56</v>
      </c>
      <c r="K151" t="s">
        <v>285</v>
      </c>
      <c r="L151" t="s">
        <v>124</v>
      </c>
      <c r="N151" t="s">
        <v>293</v>
      </c>
      <c r="O151" t="s">
        <v>300</v>
      </c>
      <c r="P151">
        <v>410</v>
      </c>
      <c r="Q151" t="b">
        <v>0</v>
      </c>
      <c r="R151" t="b">
        <v>1</v>
      </c>
      <c r="S151" t="b">
        <v>1</v>
      </c>
      <c r="T151" t="s">
        <v>7</v>
      </c>
      <c r="U151" t="b">
        <v>0</v>
      </c>
      <c r="V151" t="b">
        <v>0</v>
      </c>
      <c r="W151">
        <v>352</v>
      </c>
      <c r="X151">
        <v>0</v>
      </c>
      <c r="Y151">
        <v>0</v>
      </c>
      <c r="Z151">
        <v>1</v>
      </c>
      <c r="AA151">
        <v>0.84599999999999997</v>
      </c>
      <c r="AB151">
        <v>0.82</v>
      </c>
      <c r="AC151">
        <v>0.86799999999999999</v>
      </c>
      <c r="AD151">
        <v>3</v>
      </c>
      <c r="AE151">
        <v>2</v>
      </c>
      <c r="AF151">
        <v>2.5139999999999998</v>
      </c>
      <c r="AG151">
        <v>6003.46</v>
      </c>
      <c r="AH151" t="s">
        <v>160</v>
      </c>
      <c r="AI151" t="s">
        <v>295</v>
      </c>
    </row>
    <row r="152" spans="1:35" x14ac:dyDescent="0.55000000000000004">
      <c r="A152">
        <v>353</v>
      </c>
      <c r="B152">
        <v>15.173999999999999</v>
      </c>
      <c r="C152">
        <v>728.56097</v>
      </c>
      <c r="D152" t="s">
        <v>292</v>
      </c>
      <c r="E152" t="s">
        <v>32</v>
      </c>
      <c r="F152" t="s">
        <v>2</v>
      </c>
      <c r="G152">
        <v>0.46</v>
      </c>
      <c r="H152" t="b">
        <v>1</v>
      </c>
      <c r="I152">
        <v>11.613</v>
      </c>
      <c r="J152">
        <v>728.56</v>
      </c>
      <c r="K152" t="s">
        <v>285</v>
      </c>
      <c r="L152" t="s">
        <v>124</v>
      </c>
      <c r="N152" t="s">
        <v>293</v>
      </c>
      <c r="O152" t="s">
        <v>305</v>
      </c>
      <c r="P152">
        <v>420</v>
      </c>
      <c r="Q152" t="b">
        <v>0</v>
      </c>
      <c r="R152" t="b">
        <v>1</v>
      </c>
      <c r="S152" t="b">
        <v>1</v>
      </c>
      <c r="T152" t="s">
        <v>7</v>
      </c>
      <c r="U152" t="b">
        <v>0</v>
      </c>
      <c r="V152" t="b">
        <v>0</v>
      </c>
      <c r="W152">
        <v>353</v>
      </c>
      <c r="X152">
        <v>0</v>
      </c>
      <c r="Y152">
        <v>0</v>
      </c>
      <c r="Z152">
        <v>1</v>
      </c>
      <c r="AA152">
        <v>0.75</v>
      </c>
      <c r="AB152">
        <v>0.78400000000000003</v>
      </c>
      <c r="AC152">
        <v>0.88</v>
      </c>
      <c r="AD152">
        <v>3</v>
      </c>
      <c r="AE152">
        <v>2</v>
      </c>
      <c r="AF152">
        <v>2.4910000000000001</v>
      </c>
      <c r="AG152">
        <v>978.1</v>
      </c>
      <c r="AH152" t="s">
        <v>160</v>
      </c>
      <c r="AI152" t="s">
        <v>296</v>
      </c>
    </row>
    <row r="153" spans="1:35" x14ac:dyDescent="0.55000000000000004">
      <c r="A153">
        <v>369</v>
      </c>
      <c r="B153">
        <v>15.323</v>
      </c>
      <c r="C153">
        <v>730.57550000000003</v>
      </c>
      <c r="D153" t="s">
        <v>297</v>
      </c>
      <c r="E153" t="s">
        <v>32</v>
      </c>
      <c r="F153" t="s">
        <v>2</v>
      </c>
      <c r="G153">
        <v>0.46</v>
      </c>
      <c r="H153" t="b">
        <v>1</v>
      </c>
      <c r="I153">
        <v>11.925000000000001</v>
      </c>
      <c r="J153">
        <v>730.57561999999996</v>
      </c>
      <c r="K153" t="s">
        <v>298</v>
      </c>
      <c r="L153" t="s">
        <v>124</v>
      </c>
      <c r="N153" t="s">
        <v>299</v>
      </c>
      <c r="O153" t="s">
        <v>310</v>
      </c>
      <c r="P153">
        <v>420</v>
      </c>
      <c r="Q153" t="b">
        <v>0</v>
      </c>
      <c r="R153" t="b">
        <v>1</v>
      </c>
      <c r="S153" t="b">
        <v>1</v>
      </c>
      <c r="T153" t="s">
        <v>7</v>
      </c>
      <c r="U153" t="b">
        <v>0</v>
      </c>
      <c r="V153" t="b">
        <v>0</v>
      </c>
      <c r="W153">
        <v>369</v>
      </c>
      <c r="X153">
        <v>0</v>
      </c>
      <c r="Y153">
        <v>0</v>
      </c>
      <c r="Z153">
        <v>0.99</v>
      </c>
      <c r="AA153">
        <v>0.63800000000000001</v>
      </c>
      <c r="AB153">
        <v>0.66</v>
      </c>
      <c r="AC153">
        <v>0.89400000000000002</v>
      </c>
      <c r="AD153">
        <v>3</v>
      </c>
      <c r="AE153">
        <v>2</v>
      </c>
      <c r="AF153">
        <v>2.4430000000000001</v>
      </c>
      <c r="AG153">
        <v>743.67</v>
      </c>
      <c r="AH153" t="s">
        <v>160</v>
      </c>
      <c r="AI153" t="s">
        <v>301</v>
      </c>
    </row>
    <row r="154" spans="1:35" x14ac:dyDescent="0.55000000000000004">
      <c r="A154">
        <v>373</v>
      </c>
      <c r="B154">
        <v>10.760999999999999</v>
      </c>
      <c r="C154">
        <v>731.53490999999997</v>
      </c>
      <c r="D154" t="s">
        <v>302</v>
      </c>
      <c r="E154" t="s">
        <v>1</v>
      </c>
      <c r="F154" t="s">
        <v>2</v>
      </c>
      <c r="G154">
        <v>0.38</v>
      </c>
      <c r="H154" t="b">
        <v>1</v>
      </c>
      <c r="I154">
        <v>8.3829999999999991</v>
      </c>
      <c r="J154">
        <v>731.53448000000003</v>
      </c>
      <c r="K154" t="s">
        <v>303</v>
      </c>
      <c r="L154" t="s">
        <v>181</v>
      </c>
      <c r="N154" t="s">
        <v>304</v>
      </c>
      <c r="O154" t="s">
        <v>315</v>
      </c>
      <c r="P154">
        <v>410</v>
      </c>
      <c r="Q154" t="b">
        <v>0</v>
      </c>
      <c r="R154" t="b">
        <v>1</v>
      </c>
      <c r="S154" t="b">
        <v>1</v>
      </c>
      <c r="T154" t="s">
        <v>7</v>
      </c>
      <c r="U154" t="b">
        <v>0</v>
      </c>
      <c r="V154" t="b">
        <v>0</v>
      </c>
      <c r="W154">
        <v>373</v>
      </c>
      <c r="X154">
        <v>0</v>
      </c>
      <c r="Y154">
        <v>0</v>
      </c>
      <c r="Z154">
        <v>1</v>
      </c>
      <c r="AA154">
        <v>0.60199999999999998</v>
      </c>
      <c r="AB154">
        <v>0.75600000000000001</v>
      </c>
      <c r="AC154">
        <v>0.91600000000000004</v>
      </c>
      <c r="AD154">
        <v>3</v>
      </c>
      <c r="AE154">
        <v>1</v>
      </c>
      <c r="AF154">
        <v>1.827</v>
      </c>
      <c r="AG154">
        <v>164.52</v>
      </c>
      <c r="AH154" t="s">
        <v>171</v>
      </c>
      <c r="AI154" t="s">
        <v>306</v>
      </c>
    </row>
    <row r="155" spans="1:35" x14ac:dyDescent="0.55000000000000004">
      <c r="A155">
        <v>385</v>
      </c>
      <c r="B155">
        <v>12.173</v>
      </c>
      <c r="C155">
        <v>733.55042000000003</v>
      </c>
      <c r="D155" t="s">
        <v>307</v>
      </c>
      <c r="E155" t="s">
        <v>1</v>
      </c>
      <c r="F155" t="s">
        <v>2</v>
      </c>
      <c r="G155">
        <v>0.31</v>
      </c>
      <c r="H155" t="b">
        <v>1</v>
      </c>
      <c r="I155">
        <v>8.6560000000000006</v>
      </c>
      <c r="J155">
        <v>733.55011000000002</v>
      </c>
      <c r="K155" t="s">
        <v>308</v>
      </c>
      <c r="L155" t="s">
        <v>181</v>
      </c>
      <c r="N155" t="s">
        <v>309</v>
      </c>
      <c r="O155" t="s">
        <v>320</v>
      </c>
      <c r="P155">
        <v>410</v>
      </c>
      <c r="Q155" t="b">
        <v>0</v>
      </c>
      <c r="R155" t="b">
        <v>1</v>
      </c>
      <c r="S155" t="b">
        <v>1</v>
      </c>
      <c r="T155" t="s">
        <v>7</v>
      </c>
      <c r="U155" t="b">
        <v>0</v>
      </c>
      <c r="V155" t="b">
        <v>0</v>
      </c>
      <c r="W155">
        <v>385</v>
      </c>
      <c r="X155">
        <v>0</v>
      </c>
      <c r="Y155">
        <v>0</v>
      </c>
      <c r="Z155">
        <v>1</v>
      </c>
      <c r="AA155">
        <v>0.48599999999999999</v>
      </c>
      <c r="AB155">
        <v>0.64200000000000002</v>
      </c>
      <c r="AC155">
        <v>0.91700000000000004</v>
      </c>
      <c r="AD155">
        <v>3</v>
      </c>
      <c r="AE155">
        <v>1</v>
      </c>
      <c r="AF155">
        <v>1.7769999999999999</v>
      </c>
      <c r="AG155">
        <v>330.74</v>
      </c>
      <c r="AH155" t="s">
        <v>311</v>
      </c>
      <c r="AI155" t="s">
        <v>312</v>
      </c>
    </row>
    <row r="156" spans="1:35" x14ac:dyDescent="0.55000000000000004">
      <c r="A156">
        <v>386</v>
      </c>
      <c r="B156">
        <v>12.452</v>
      </c>
      <c r="C156">
        <v>733.55071999999996</v>
      </c>
      <c r="D156" t="s">
        <v>313</v>
      </c>
      <c r="E156" t="s">
        <v>1</v>
      </c>
      <c r="F156" t="s">
        <v>2</v>
      </c>
      <c r="G156">
        <v>0.46</v>
      </c>
      <c r="H156" t="b">
        <v>1</v>
      </c>
      <c r="I156">
        <v>8.6430000000000007</v>
      </c>
      <c r="J156">
        <v>733.55011000000002</v>
      </c>
      <c r="K156" t="s">
        <v>308</v>
      </c>
      <c r="L156" t="s">
        <v>181</v>
      </c>
      <c r="N156" t="s">
        <v>314</v>
      </c>
      <c r="O156" t="s">
        <v>325</v>
      </c>
      <c r="P156">
        <v>410</v>
      </c>
      <c r="Q156" t="b">
        <v>0</v>
      </c>
      <c r="R156" t="b">
        <v>1</v>
      </c>
      <c r="S156" t="b">
        <v>1</v>
      </c>
      <c r="T156" t="s">
        <v>7</v>
      </c>
      <c r="U156" t="b">
        <v>0</v>
      </c>
      <c r="V156" t="b">
        <v>0</v>
      </c>
      <c r="W156">
        <v>386</v>
      </c>
      <c r="X156">
        <v>0</v>
      </c>
      <c r="Y156">
        <v>0</v>
      </c>
      <c r="Z156">
        <v>0.99</v>
      </c>
      <c r="AA156">
        <v>0.871</v>
      </c>
      <c r="AB156">
        <v>0.91500000000000004</v>
      </c>
      <c r="AC156">
        <v>0.94799999999999995</v>
      </c>
      <c r="AD156">
        <v>5</v>
      </c>
      <c r="AE156">
        <v>2</v>
      </c>
      <c r="AF156">
        <v>2.5710000000000002</v>
      </c>
      <c r="AG156">
        <v>9972.6</v>
      </c>
      <c r="AH156" t="s">
        <v>110</v>
      </c>
      <c r="AI156" t="s">
        <v>316</v>
      </c>
    </row>
    <row r="157" spans="1:35" x14ac:dyDescent="0.55000000000000004">
      <c r="A157">
        <v>414</v>
      </c>
      <c r="B157">
        <v>12.704000000000001</v>
      </c>
      <c r="C157">
        <v>736.49292000000003</v>
      </c>
      <c r="D157" t="s">
        <v>317</v>
      </c>
      <c r="E157" t="s">
        <v>32</v>
      </c>
      <c r="F157" t="s">
        <v>2</v>
      </c>
      <c r="G157">
        <v>0.38</v>
      </c>
      <c r="H157" t="b">
        <v>1</v>
      </c>
      <c r="I157">
        <v>8.9009999999999998</v>
      </c>
      <c r="J157">
        <v>736.49230999999997</v>
      </c>
      <c r="K157" t="s">
        <v>318</v>
      </c>
      <c r="L157" t="s">
        <v>139</v>
      </c>
      <c r="N157" t="s">
        <v>319</v>
      </c>
      <c r="O157" t="s">
        <v>331</v>
      </c>
      <c r="P157">
        <v>410</v>
      </c>
      <c r="Q157" t="b">
        <v>0</v>
      </c>
      <c r="R157" t="b">
        <v>1</v>
      </c>
      <c r="S157" t="b">
        <v>1</v>
      </c>
      <c r="T157" t="s">
        <v>7</v>
      </c>
      <c r="U157" t="b">
        <v>0</v>
      </c>
      <c r="V157" t="b">
        <v>0</v>
      </c>
      <c r="W157">
        <v>414</v>
      </c>
      <c r="X157">
        <v>0</v>
      </c>
      <c r="Y157">
        <v>0</v>
      </c>
      <c r="Z157">
        <v>1</v>
      </c>
      <c r="AA157">
        <v>0.58599999999999997</v>
      </c>
      <c r="AB157">
        <v>0.63300000000000001</v>
      </c>
      <c r="AC157">
        <v>0.89100000000000001</v>
      </c>
      <c r="AD157">
        <v>5</v>
      </c>
      <c r="AE157">
        <v>2</v>
      </c>
      <c r="AF157">
        <v>2.4289999999999998</v>
      </c>
      <c r="AG157">
        <v>235.26</v>
      </c>
      <c r="AH157" t="s">
        <v>160</v>
      </c>
      <c r="AI157" t="s">
        <v>321</v>
      </c>
    </row>
    <row r="158" spans="1:35" x14ac:dyDescent="0.55000000000000004">
      <c r="A158">
        <v>417</v>
      </c>
      <c r="B158">
        <v>14.670999999999999</v>
      </c>
      <c r="C158">
        <v>736.52855999999997</v>
      </c>
      <c r="D158" t="s">
        <v>322</v>
      </c>
      <c r="E158" t="s">
        <v>32</v>
      </c>
      <c r="F158" t="s">
        <v>2</v>
      </c>
      <c r="G158">
        <v>0.46</v>
      </c>
      <c r="H158" t="b">
        <v>1</v>
      </c>
      <c r="I158">
        <v>10.335000000000001</v>
      </c>
      <c r="J158">
        <v>736.52868999999998</v>
      </c>
      <c r="K158" t="s">
        <v>323</v>
      </c>
      <c r="L158" t="s">
        <v>124</v>
      </c>
      <c r="N158" t="s">
        <v>324</v>
      </c>
      <c r="O158" t="s">
        <v>336</v>
      </c>
      <c r="P158">
        <v>410</v>
      </c>
      <c r="Q158" t="b">
        <v>0</v>
      </c>
      <c r="R158" t="b">
        <v>1</v>
      </c>
      <c r="S158" t="b">
        <v>1</v>
      </c>
      <c r="T158" t="s">
        <v>7</v>
      </c>
      <c r="U158" t="b">
        <v>0</v>
      </c>
      <c r="V158" t="b">
        <v>0</v>
      </c>
      <c r="W158">
        <v>417</v>
      </c>
      <c r="X158">
        <v>0</v>
      </c>
      <c r="Y158">
        <v>0</v>
      </c>
      <c r="Z158">
        <v>1</v>
      </c>
      <c r="AA158">
        <v>0.72599999999999998</v>
      </c>
      <c r="AB158">
        <v>0.77300000000000002</v>
      </c>
      <c r="AC158">
        <v>0.94099999999999995</v>
      </c>
      <c r="AD158">
        <v>3</v>
      </c>
      <c r="AE158">
        <v>2</v>
      </c>
      <c r="AF158">
        <v>2.5099999999999998</v>
      </c>
      <c r="AG158">
        <v>350.39</v>
      </c>
      <c r="AH158" t="s">
        <v>160</v>
      </c>
      <c r="AI158" t="s">
        <v>326</v>
      </c>
    </row>
    <row r="159" spans="1:35" x14ac:dyDescent="0.55000000000000004">
      <c r="A159">
        <v>418</v>
      </c>
      <c r="B159">
        <v>14.144</v>
      </c>
      <c r="C159">
        <v>736.54938000000004</v>
      </c>
      <c r="D159" t="s">
        <v>327</v>
      </c>
      <c r="E159" t="s">
        <v>1</v>
      </c>
      <c r="F159" t="s">
        <v>2</v>
      </c>
      <c r="G159">
        <v>0.15</v>
      </c>
      <c r="H159" t="b">
        <v>1</v>
      </c>
      <c r="I159">
        <v>9.3260000000000005</v>
      </c>
      <c r="J159">
        <v>736.5498</v>
      </c>
      <c r="K159" t="s">
        <v>328</v>
      </c>
      <c r="L159" t="s">
        <v>329</v>
      </c>
      <c r="N159" t="s">
        <v>330</v>
      </c>
      <c r="O159" t="s">
        <v>340</v>
      </c>
      <c r="P159">
        <v>410</v>
      </c>
      <c r="Q159" t="b">
        <v>0</v>
      </c>
      <c r="R159" t="b">
        <v>1</v>
      </c>
      <c r="S159" t="b">
        <v>1</v>
      </c>
      <c r="T159" t="s">
        <v>7</v>
      </c>
      <c r="U159" t="b">
        <v>0</v>
      </c>
      <c r="V159" t="b">
        <v>0</v>
      </c>
      <c r="W159">
        <v>418</v>
      </c>
      <c r="X159">
        <v>0</v>
      </c>
      <c r="Y159">
        <v>0</v>
      </c>
      <c r="Z159">
        <v>1</v>
      </c>
      <c r="AA159">
        <v>0.49399999999999999</v>
      </c>
      <c r="AB159">
        <v>0.66100000000000003</v>
      </c>
      <c r="AC159">
        <v>0.83699999999999997</v>
      </c>
      <c r="AD159">
        <v>3</v>
      </c>
      <c r="AE159">
        <v>2</v>
      </c>
      <c r="AF159">
        <v>2.3919999999999999</v>
      </c>
      <c r="AG159">
        <v>109.31</v>
      </c>
      <c r="AH159" t="s">
        <v>160</v>
      </c>
      <c r="AI159" t="s">
        <v>332</v>
      </c>
    </row>
    <row r="160" spans="1:35" x14ac:dyDescent="0.55000000000000004">
      <c r="A160">
        <v>434</v>
      </c>
      <c r="B160">
        <v>11.804</v>
      </c>
      <c r="C160">
        <v>738.50696000000005</v>
      </c>
      <c r="D160" t="s">
        <v>333</v>
      </c>
      <c r="E160" t="s">
        <v>32</v>
      </c>
      <c r="F160" t="s">
        <v>2</v>
      </c>
      <c r="G160">
        <v>0.38</v>
      </c>
      <c r="H160" t="b">
        <v>1</v>
      </c>
      <c r="I160">
        <v>8.9529999999999994</v>
      </c>
      <c r="J160">
        <v>738.50787000000003</v>
      </c>
      <c r="K160" t="s">
        <v>334</v>
      </c>
      <c r="L160" t="s">
        <v>209</v>
      </c>
      <c r="N160" t="s">
        <v>335</v>
      </c>
      <c r="O160" t="s">
        <v>344</v>
      </c>
      <c r="P160">
        <v>410</v>
      </c>
      <c r="Q160" t="b">
        <v>0</v>
      </c>
      <c r="R160" t="b">
        <v>1</v>
      </c>
      <c r="S160" t="b">
        <v>1</v>
      </c>
      <c r="T160" t="s">
        <v>7</v>
      </c>
      <c r="U160" t="b">
        <v>0</v>
      </c>
      <c r="V160" t="b">
        <v>0</v>
      </c>
      <c r="W160">
        <v>434</v>
      </c>
      <c r="X160">
        <v>0</v>
      </c>
      <c r="Y160">
        <v>0</v>
      </c>
      <c r="Z160">
        <v>1</v>
      </c>
      <c r="AA160">
        <v>0.36899999999999999</v>
      </c>
      <c r="AB160">
        <v>0.40200000000000002</v>
      </c>
      <c r="AC160">
        <v>0.91600000000000004</v>
      </c>
      <c r="AD160">
        <v>3</v>
      </c>
      <c r="AE160">
        <v>2</v>
      </c>
      <c r="AF160">
        <v>2.343</v>
      </c>
      <c r="AG160">
        <v>205.28</v>
      </c>
      <c r="AH160" t="s">
        <v>288</v>
      </c>
      <c r="AI160" t="s">
        <v>337</v>
      </c>
    </row>
    <row r="161" spans="1:35" x14ac:dyDescent="0.55000000000000004">
      <c r="A161">
        <v>437</v>
      </c>
      <c r="B161">
        <v>12.879</v>
      </c>
      <c r="C161">
        <v>738.50818000000004</v>
      </c>
      <c r="D161" t="s">
        <v>338</v>
      </c>
      <c r="E161" t="s">
        <v>32</v>
      </c>
      <c r="F161" t="s">
        <v>2</v>
      </c>
      <c r="G161">
        <v>0.46</v>
      </c>
      <c r="H161" t="b">
        <v>1</v>
      </c>
      <c r="I161">
        <v>8.9179999999999993</v>
      </c>
      <c r="J161">
        <v>738.50787000000003</v>
      </c>
      <c r="K161" t="s">
        <v>334</v>
      </c>
      <c r="L161" t="s">
        <v>139</v>
      </c>
      <c r="N161" t="s">
        <v>339</v>
      </c>
      <c r="O161" t="s">
        <v>349</v>
      </c>
      <c r="P161">
        <v>410</v>
      </c>
      <c r="Q161" t="b">
        <v>0</v>
      </c>
      <c r="R161" t="b">
        <v>1</v>
      </c>
      <c r="S161" t="b">
        <v>1</v>
      </c>
      <c r="T161" t="s">
        <v>7</v>
      </c>
      <c r="U161" t="b">
        <v>0</v>
      </c>
      <c r="V161" t="b">
        <v>0</v>
      </c>
      <c r="W161">
        <v>437</v>
      </c>
      <c r="X161">
        <v>0</v>
      </c>
      <c r="Y161">
        <v>0</v>
      </c>
      <c r="Z161">
        <v>1</v>
      </c>
      <c r="AA161">
        <v>0.76900000000000002</v>
      </c>
      <c r="AB161">
        <v>0.78600000000000003</v>
      </c>
      <c r="AC161">
        <v>0.85099999999999998</v>
      </c>
      <c r="AD161">
        <v>5</v>
      </c>
      <c r="AE161">
        <v>2</v>
      </c>
      <c r="AF161">
        <v>2.4830000000000001</v>
      </c>
      <c r="AG161">
        <v>1075.1500000000001</v>
      </c>
      <c r="AH161" t="s">
        <v>160</v>
      </c>
      <c r="AI161" t="s">
        <v>341</v>
      </c>
    </row>
    <row r="162" spans="1:35" x14ac:dyDescent="0.55000000000000004">
      <c r="A162">
        <v>438</v>
      </c>
      <c r="B162">
        <v>13.701000000000001</v>
      </c>
      <c r="C162">
        <v>738.50891000000001</v>
      </c>
      <c r="D162" t="s">
        <v>342</v>
      </c>
      <c r="E162" t="s">
        <v>32</v>
      </c>
      <c r="F162" t="s">
        <v>2</v>
      </c>
      <c r="G162">
        <v>0.46</v>
      </c>
      <c r="H162" t="b">
        <v>1</v>
      </c>
      <c r="I162">
        <v>9.2430000000000003</v>
      </c>
      <c r="J162">
        <v>738.50787000000003</v>
      </c>
      <c r="K162" t="s">
        <v>334</v>
      </c>
      <c r="L162" t="s">
        <v>139</v>
      </c>
      <c r="N162" t="s">
        <v>343</v>
      </c>
      <c r="O162" t="s">
        <v>353</v>
      </c>
      <c r="P162">
        <v>410</v>
      </c>
      <c r="Q162" t="b">
        <v>0</v>
      </c>
      <c r="R162" t="b">
        <v>1</v>
      </c>
      <c r="S162" t="b">
        <v>1</v>
      </c>
      <c r="T162" t="s">
        <v>7</v>
      </c>
      <c r="U162" t="b">
        <v>0</v>
      </c>
      <c r="V162" t="b">
        <v>0</v>
      </c>
      <c r="W162">
        <v>438</v>
      </c>
      <c r="X162">
        <v>0</v>
      </c>
      <c r="Y162">
        <v>0</v>
      </c>
      <c r="Z162">
        <v>1</v>
      </c>
      <c r="AA162">
        <v>0.86199999999999999</v>
      </c>
      <c r="AB162">
        <v>0.877</v>
      </c>
      <c r="AC162">
        <v>0.91400000000000003</v>
      </c>
      <c r="AD162">
        <v>8</v>
      </c>
      <c r="AE162">
        <v>2</v>
      </c>
      <c r="AF162">
        <v>2.5499999999999998</v>
      </c>
      <c r="AG162">
        <v>6066.12</v>
      </c>
      <c r="AH162" t="s">
        <v>160</v>
      </c>
      <c r="AI162" t="s">
        <v>345</v>
      </c>
    </row>
    <row r="163" spans="1:35" x14ac:dyDescent="0.55000000000000004">
      <c r="A163">
        <v>452</v>
      </c>
      <c r="B163">
        <v>14.257999999999999</v>
      </c>
      <c r="C163">
        <v>740.52344000000005</v>
      </c>
      <c r="D163" t="s">
        <v>346</v>
      </c>
      <c r="E163" t="s">
        <v>32</v>
      </c>
      <c r="F163" t="s">
        <v>2</v>
      </c>
      <c r="G163">
        <v>0.38</v>
      </c>
      <c r="H163" t="b">
        <v>1</v>
      </c>
      <c r="I163">
        <v>9.1329999999999991</v>
      </c>
      <c r="J163">
        <v>740.52362000000005</v>
      </c>
      <c r="K163" t="s">
        <v>347</v>
      </c>
      <c r="L163" t="s">
        <v>209</v>
      </c>
      <c r="N163" t="s">
        <v>348</v>
      </c>
      <c r="O163" t="s">
        <v>357</v>
      </c>
      <c r="P163">
        <v>410</v>
      </c>
      <c r="Q163" t="b">
        <v>0</v>
      </c>
      <c r="R163" t="b">
        <v>1</v>
      </c>
      <c r="S163" t="b">
        <v>1</v>
      </c>
      <c r="T163" t="s">
        <v>7</v>
      </c>
      <c r="U163" t="b">
        <v>0</v>
      </c>
      <c r="V163" t="b">
        <v>0</v>
      </c>
      <c r="W163">
        <v>452</v>
      </c>
      <c r="X163">
        <v>0</v>
      </c>
      <c r="Y163">
        <v>0</v>
      </c>
      <c r="Z163">
        <v>1</v>
      </c>
      <c r="AA163">
        <v>0.55600000000000005</v>
      </c>
      <c r="AB163">
        <v>0.59799999999999998</v>
      </c>
      <c r="AC163">
        <v>0.91600000000000004</v>
      </c>
      <c r="AD163">
        <v>4</v>
      </c>
      <c r="AE163">
        <v>2</v>
      </c>
      <c r="AF163">
        <v>2.4249999999999998</v>
      </c>
      <c r="AG163">
        <v>1227.72</v>
      </c>
      <c r="AH163" t="s">
        <v>288</v>
      </c>
      <c r="AI163" t="s">
        <v>350</v>
      </c>
    </row>
    <row r="164" spans="1:35" x14ac:dyDescent="0.55000000000000004">
      <c r="A164">
        <v>453</v>
      </c>
      <c r="B164">
        <v>12.239000000000001</v>
      </c>
      <c r="C164">
        <v>740.52355999999997</v>
      </c>
      <c r="D164" t="s">
        <v>351</v>
      </c>
      <c r="E164" t="s">
        <v>32</v>
      </c>
      <c r="F164" t="s">
        <v>2</v>
      </c>
      <c r="G164">
        <v>0.38</v>
      </c>
      <c r="H164" t="b">
        <v>1</v>
      </c>
      <c r="I164">
        <v>9.2159999999999993</v>
      </c>
      <c r="J164">
        <v>740.52362000000005</v>
      </c>
      <c r="K164" t="s">
        <v>347</v>
      </c>
      <c r="L164" t="s">
        <v>209</v>
      </c>
      <c r="N164" t="s">
        <v>352</v>
      </c>
      <c r="O164" t="s">
        <v>362</v>
      </c>
      <c r="P164">
        <v>410</v>
      </c>
      <c r="Q164" t="b">
        <v>0</v>
      </c>
      <c r="R164" t="b">
        <v>1</v>
      </c>
      <c r="S164" t="b">
        <v>1</v>
      </c>
      <c r="T164" t="s">
        <v>7</v>
      </c>
      <c r="U164" t="b">
        <v>0</v>
      </c>
      <c r="V164" t="b">
        <v>0</v>
      </c>
      <c r="W164">
        <v>453</v>
      </c>
      <c r="X164">
        <v>0</v>
      </c>
      <c r="Y164">
        <v>0</v>
      </c>
      <c r="Z164">
        <v>1</v>
      </c>
      <c r="AA164">
        <v>0.83899999999999997</v>
      </c>
      <c r="AB164">
        <v>0.878</v>
      </c>
      <c r="AC164">
        <v>0.93899999999999995</v>
      </c>
      <c r="AD164">
        <v>6</v>
      </c>
      <c r="AE164">
        <v>2</v>
      </c>
      <c r="AF164">
        <v>2.556</v>
      </c>
      <c r="AG164">
        <v>544.53</v>
      </c>
      <c r="AH164" t="s">
        <v>160</v>
      </c>
      <c r="AI164" t="s">
        <v>354</v>
      </c>
    </row>
    <row r="165" spans="1:35" x14ac:dyDescent="0.55000000000000004">
      <c r="A165">
        <v>454</v>
      </c>
      <c r="B165">
        <v>14.01</v>
      </c>
      <c r="C165">
        <v>740.52368000000001</v>
      </c>
      <c r="D165" t="s">
        <v>355</v>
      </c>
      <c r="E165" t="s">
        <v>32</v>
      </c>
      <c r="F165" t="s">
        <v>2</v>
      </c>
      <c r="G165">
        <v>0.46</v>
      </c>
      <c r="H165" t="b">
        <v>1</v>
      </c>
      <c r="I165">
        <v>9.3940000000000001</v>
      </c>
      <c r="J165">
        <v>740.52362000000005</v>
      </c>
      <c r="K165" t="s">
        <v>347</v>
      </c>
      <c r="L165" t="s">
        <v>139</v>
      </c>
      <c r="N165" t="s">
        <v>356</v>
      </c>
      <c r="O165" t="s">
        <v>366</v>
      </c>
      <c r="P165">
        <v>410</v>
      </c>
      <c r="Q165" t="b">
        <v>0</v>
      </c>
      <c r="R165" t="b">
        <v>1</v>
      </c>
      <c r="S165" t="b">
        <v>1</v>
      </c>
      <c r="T165" t="s">
        <v>7</v>
      </c>
      <c r="U165" t="b">
        <v>0</v>
      </c>
      <c r="V165" t="b">
        <v>0</v>
      </c>
      <c r="W165">
        <v>454</v>
      </c>
      <c r="X165">
        <v>0</v>
      </c>
      <c r="Y165">
        <v>0</v>
      </c>
      <c r="Z165">
        <v>1</v>
      </c>
      <c r="AA165">
        <v>0.84799999999999998</v>
      </c>
      <c r="AB165">
        <v>0.88100000000000001</v>
      </c>
      <c r="AC165">
        <v>0.92600000000000005</v>
      </c>
      <c r="AD165">
        <v>8</v>
      </c>
      <c r="AE165">
        <v>2</v>
      </c>
      <c r="AF165">
        <v>2.5529999999999999</v>
      </c>
      <c r="AG165">
        <v>4005.28</v>
      </c>
      <c r="AH165" t="s">
        <v>110</v>
      </c>
      <c r="AI165" t="s">
        <v>358</v>
      </c>
    </row>
    <row r="166" spans="1:35" x14ac:dyDescent="0.55000000000000004">
      <c r="A166">
        <v>463</v>
      </c>
      <c r="B166">
        <v>13.629</v>
      </c>
      <c r="C166">
        <v>742.53857000000005</v>
      </c>
      <c r="D166" t="s">
        <v>359</v>
      </c>
      <c r="E166" t="s">
        <v>32</v>
      </c>
      <c r="F166" t="s">
        <v>2</v>
      </c>
      <c r="G166">
        <v>0.46</v>
      </c>
      <c r="H166" t="b">
        <v>1</v>
      </c>
      <c r="I166">
        <v>9.7439999999999998</v>
      </c>
      <c r="J166">
        <v>742.53917999999999</v>
      </c>
      <c r="K166" t="s">
        <v>360</v>
      </c>
      <c r="L166" t="s">
        <v>209</v>
      </c>
      <c r="N166" t="s">
        <v>361</v>
      </c>
      <c r="O166" t="s">
        <v>370</v>
      </c>
      <c r="P166">
        <v>410</v>
      </c>
      <c r="Q166" t="b">
        <v>0</v>
      </c>
      <c r="R166" t="b">
        <v>1</v>
      </c>
      <c r="S166" t="b">
        <v>1</v>
      </c>
      <c r="T166" t="s">
        <v>7</v>
      </c>
      <c r="U166" t="b">
        <v>0</v>
      </c>
      <c r="V166" t="b">
        <v>0</v>
      </c>
      <c r="W166">
        <v>463</v>
      </c>
      <c r="X166">
        <v>0</v>
      </c>
      <c r="Y166">
        <v>0</v>
      </c>
      <c r="Z166">
        <v>1</v>
      </c>
      <c r="AA166">
        <v>0.93500000000000005</v>
      </c>
      <c r="AB166">
        <v>0.92400000000000004</v>
      </c>
      <c r="AC166">
        <v>0.93600000000000005</v>
      </c>
      <c r="AD166">
        <v>7</v>
      </c>
      <c r="AE166">
        <v>2</v>
      </c>
      <c r="AF166">
        <v>2.585</v>
      </c>
      <c r="AG166">
        <v>34912.730000000003</v>
      </c>
      <c r="AH166" t="s">
        <v>110</v>
      </c>
      <c r="AI166" t="s">
        <v>363</v>
      </c>
    </row>
    <row r="167" spans="1:35" x14ac:dyDescent="0.55000000000000004">
      <c r="A167">
        <v>464</v>
      </c>
      <c r="B167">
        <v>15.176</v>
      </c>
      <c r="C167">
        <v>742.53876000000002</v>
      </c>
      <c r="D167" t="s">
        <v>364</v>
      </c>
      <c r="E167" t="s">
        <v>32</v>
      </c>
      <c r="F167" t="s">
        <v>2</v>
      </c>
      <c r="G167">
        <v>0.31</v>
      </c>
      <c r="H167" t="b">
        <v>1</v>
      </c>
      <c r="I167">
        <v>9.6039999999999992</v>
      </c>
      <c r="J167">
        <v>742.53917999999999</v>
      </c>
      <c r="K167" t="s">
        <v>360</v>
      </c>
      <c r="L167" t="s">
        <v>209</v>
      </c>
      <c r="N167" t="s">
        <v>365</v>
      </c>
      <c r="O167" t="s">
        <v>375</v>
      </c>
      <c r="P167">
        <v>410</v>
      </c>
      <c r="Q167" t="b">
        <v>0</v>
      </c>
      <c r="R167" t="b">
        <v>1</v>
      </c>
      <c r="S167" t="b">
        <v>1</v>
      </c>
      <c r="T167" t="s">
        <v>7</v>
      </c>
      <c r="U167" t="b">
        <v>0</v>
      </c>
      <c r="V167" t="b">
        <v>0</v>
      </c>
      <c r="W167">
        <v>464</v>
      </c>
      <c r="X167">
        <v>0</v>
      </c>
      <c r="Y167">
        <v>0</v>
      </c>
      <c r="Z167">
        <v>1</v>
      </c>
      <c r="AA167">
        <v>0.64100000000000001</v>
      </c>
      <c r="AB167">
        <v>0.69399999999999995</v>
      </c>
      <c r="AC167">
        <v>0.94</v>
      </c>
      <c r="AD167">
        <v>4</v>
      </c>
      <c r="AE167">
        <v>2</v>
      </c>
      <c r="AF167">
        <v>2.4740000000000002</v>
      </c>
      <c r="AG167">
        <v>21081.23</v>
      </c>
      <c r="AH167" t="s">
        <v>160</v>
      </c>
      <c r="AI167" t="s">
        <v>367</v>
      </c>
    </row>
    <row r="168" spans="1:35" x14ac:dyDescent="0.55000000000000004">
      <c r="A168">
        <v>465</v>
      </c>
      <c r="B168">
        <v>15.042</v>
      </c>
      <c r="C168">
        <v>742.53961000000004</v>
      </c>
      <c r="D168" t="s">
        <v>368</v>
      </c>
      <c r="E168" t="s">
        <v>32</v>
      </c>
      <c r="F168" t="s">
        <v>2</v>
      </c>
      <c r="G168">
        <v>0.46</v>
      </c>
      <c r="H168" t="b">
        <v>1</v>
      </c>
      <c r="I168">
        <v>10.093999999999999</v>
      </c>
      <c r="J168">
        <v>742.53917999999999</v>
      </c>
      <c r="K168" t="s">
        <v>360</v>
      </c>
      <c r="L168" t="s">
        <v>139</v>
      </c>
      <c r="N168" t="s">
        <v>369</v>
      </c>
      <c r="O168" t="s">
        <v>379</v>
      </c>
      <c r="P168">
        <v>410</v>
      </c>
      <c r="Q168" t="b">
        <v>0</v>
      </c>
      <c r="R168" t="b">
        <v>1</v>
      </c>
      <c r="S168" t="b">
        <v>1</v>
      </c>
      <c r="T168" t="s">
        <v>7</v>
      </c>
      <c r="U168" t="b">
        <v>0</v>
      </c>
      <c r="V168" t="b">
        <v>0</v>
      </c>
      <c r="W168">
        <v>465</v>
      </c>
      <c r="X168">
        <v>0</v>
      </c>
      <c r="Y168">
        <v>0</v>
      </c>
      <c r="Z168">
        <v>1</v>
      </c>
      <c r="AA168">
        <v>0.79600000000000004</v>
      </c>
      <c r="AB168">
        <v>0.78500000000000003</v>
      </c>
      <c r="AC168">
        <v>0.83399999999999996</v>
      </c>
      <c r="AD168">
        <v>5</v>
      </c>
      <c r="AE168">
        <v>2</v>
      </c>
      <c r="AF168">
        <v>2.48</v>
      </c>
      <c r="AG168">
        <v>10859.01</v>
      </c>
      <c r="AH168" t="s">
        <v>160</v>
      </c>
      <c r="AI168" t="s">
        <v>371</v>
      </c>
    </row>
    <row r="169" spans="1:35" x14ac:dyDescent="0.55000000000000004">
      <c r="A169">
        <v>475</v>
      </c>
      <c r="B169">
        <v>14.656000000000001</v>
      </c>
      <c r="C169">
        <v>744.55389000000002</v>
      </c>
      <c r="D169" t="s">
        <v>372</v>
      </c>
      <c r="E169" t="s">
        <v>32</v>
      </c>
      <c r="F169" t="s">
        <v>2</v>
      </c>
      <c r="G169">
        <v>0.46</v>
      </c>
      <c r="H169" t="b">
        <v>1</v>
      </c>
      <c r="I169">
        <v>10.305999999999999</v>
      </c>
      <c r="J169">
        <v>744.55487000000005</v>
      </c>
      <c r="K169" t="s">
        <v>373</v>
      </c>
      <c r="L169" t="s">
        <v>209</v>
      </c>
      <c r="N169" t="s">
        <v>374</v>
      </c>
      <c r="O169" t="s">
        <v>385</v>
      </c>
      <c r="P169">
        <v>410</v>
      </c>
      <c r="Q169" t="b">
        <v>0</v>
      </c>
      <c r="R169" t="b">
        <v>1</v>
      </c>
      <c r="S169" t="b">
        <v>1</v>
      </c>
      <c r="T169" t="s">
        <v>7</v>
      </c>
      <c r="U169" t="b">
        <v>0</v>
      </c>
      <c r="V169" t="b">
        <v>0</v>
      </c>
      <c r="W169">
        <v>475</v>
      </c>
      <c r="X169">
        <v>0</v>
      </c>
      <c r="Y169">
        <v>0</v>
      </c>
      <c r="Z169">
        <v>1</v>
      </c>
      <c r="AA169">
        <v>0.93700000000000006</v>
      </c>
      <c r="AB169">
        <v>0.92300000000000004</v>
      </c>
      <c r="AC169">
        <v>0.93600000000000005</v>
      </c>
      <c r="AD169">
        <v>7</v>
      </c>
      <c r="AE169">
        <v>2</v>
      </c>
      <c r="AF169">
        <v>2.5840000000000001</v>
      </c>
      <c r="AG169">
        <v>20020.419999999998</v>
      </c>
      <c r="AH169" t="s">
        <v>160</v>
      </c>
      <c r="AI169" t="s">
        <v>376</v>
      </c>
    </row>
    <row r="170" spans="1:35" x14ac:dyDescent="0.55000000000000004">
      <c r="A170">
        <v>476</v>
      </c>
      <c r="B170">
        <v>15.992000000000001</v>
      </c>
      <c r="C170">
        <v>744.55431999999996</v>
      </c>
      <c r="D170" t="s">
        <v>377</v>
      </c>
      <c r="E170" t="s">
        <v>32</v>
      </c>
      <c r="F170" t="s">
        <v>2</v>
      </c>
      <c r="G170">
        <v>0.46</v>
      </c>
      <c r="H170" t="b">
        <v>1</v>
      </c>
      <c r="I170">
        <v>11.090999999999999</v>
      </c>
      <c r="J170">
        <v>744.55487000000005</v>
      </c>
      <c r="K170" t="s">
        <v>373</v>
      </c>
      <c r="L170" t="s">
        <v>139</v>
      </c>
      <c r="N170" t="s">
        <v>378</v>
      </c>
      <c r="O170" t="s">
        <v>390</v>
      </c>
      <c r="P170">
        <v>420</v>
      </c>
      <c r="Q170" t="b">
        <v>0</v>
      </c>
      <c r="R170" t="b">
        <v>1</v>
      </c>
      <c r="S170" t="b">
        <v>1</v>
      </c>
      <c r="T170" t="s">
        <v>7</v>
      </c>
      <c r="U170" t="b">
        <v>0</v>
      </c>
      <c r="V170" t="b">
        <v>0</v>
      </c>
      <c r="W170">
        <v>476</v>
      </c>
      <c r="X170">
        <v>0</v>
      </c>
      <c r="Y170">
        <v>0</v>
      </c>
      <c r="Z170">
        <v>1</v>
      </c>
      <c r="AA170">
        <v>0.85599999999999998</v>
      </c>
      <c r="AB170">
        <v>0.86199999999999999</v>
      </c>
      <c r="AC170">
        <v>0.90500000000000003</v>
      </c>
      <c r="AD170">
        <v>8</v>
      </c>
      <c r="AE170">
        <v>2</v>
      </c>
      <c r="AF170">
        <v>2.5419999999999998</v>
      </c>
      <c r="AG170">
        <v>6832.91</v>
      </c>
      <c r="AH170" t="s">
        <v>160</v>
      </c>
      <c r="AI170" t="s">
        <v>380</v>
      </c>
    </row>
    <row r="171" spans="1:35" x14ac:dyDescent="0.55000000000000004">
      <c r="A171">
        <v>479</v>
      </c>
      <c r="B171">
        <v>12.378</v>
      </c>
      <c r="C171">
        <v>745.50171</v>
      </c>
      <c r="D171" t="s">
        <v>381</v>
      </c>
      <c r="E171" t="s">
        <v>32</v>
      </c>
      <c r="F171" t="s">
        <v>2</v>
      </c>
      <c r="G171">
        <v>0.31</v>
      </c>
      <c r="H171" t="b">
        <v>1</v>
      </c>
      <c r="I171">
        <v>8.3610000000000007</v>
      </c>
      <c r="J171">
        <v>745.50250000000005</v>
      </c>
      <c r="K171" t="s">
        <v>382</v>
      </c>
      <c r="L171" t="s">
        <v>383</v>
      </c>
      <c r="N171" t="s">
        <v>384</v>
      </c>
      <c r="O171" t="s">
        <v>394</v>
      </c>
      <c r="P171">
        <v>410</v>
      </c>
      <c r="Q171" t="b">
        <v>0</v>
      </c>
      <c r="R171" t="b">
        <v>1</v>
      </c>
      <c r="S171" t="b">
        <v>1</v>
      </c>
      <c r="T171" t="s">
        <v>7</v>
      </c>
      <c r="U171" t="b">
        <v>0</v>
      </c>
      <c r="V171" t="b">
        <v>0</v>
      </c>
      <c r="W171">
        <v>479</v>
      </c>
      <c r="X171">
        <v>0</v>
      </c>
      <c r="Y171">
        <v>0</v>
      </c>
      <c r="Z171">
        <v>1</v>
      </c>
      <c r="AA171">
        <v>0.49</v>
      </c>
      <c r="AB171">
        <v>0.54800000000000004</v>
      </c>
      <c r="AC171">
        <v>0.89700000000000002</v>
      </c>
      <c r="AD171">
        <v>5</v>
      </c>
      <c r="AE171">
        <v>2</v>
      </c>
      <c r="AF171">
        <v>2.39</v>
      </c>
      <c r="AG171">
        <v>503.35</v>
      </c>
      <c r="AH171" t="s">
        <v>290</v>
      </c>
      <c r="AI171" t="s">
        <v>386</v>
      </c>
    </row>
    <row r="172" spans="1:35" x14ac:dyDescent="0.55000000000000004">
      <c r="A172">
        <v>481</v>
      </c>
      <c r="B172">
        <v>12.041</v>
      </c>
      <c r="C172">
        <v>745.54938000000004</v>
      </c>
      <c r="D172" t="s">
        <v>387</v>
      </c>
      <c r="E172" t="s">
        <v>1</v>
      </c>
      <c r="F172" t="s">
        <v>2</v>
      </c>
      <c r="G172">
        <v>0.08</v>
      </c>
      <c r="H172" t="b">
        <v>1</v>
      </c>
      <c r="I172">
        <v>8.3059999999999992</v>
      </c>
      <c r="J172">
        <v>745.55011000000002</v>
      </c>
      <c r="K172" t="s">
        <v>388</v>
      </c>
      <c r="L172" t="s">
        <v>181</v>
      </c>
      <c r="N172" t="s">
        <v>389</v>
      </c>
      <c r="O172" t="s">
        <v>399</v>
      </c>
      <c r="P172">
        <v>410</v>
      </c>
      <c r="Q172" t="b">
        <v>0</v>
      </c>
      <c r="R172" t="b">
        <v>1</v>
      </c>
      <c r="S172" t="b">
        <v>1</v>
      </c>
      <c r="T172" t="s">
        <v>7</v>
      </c>
      <c r="U172" t="b">
        <v>0</v>
      </c>
      <c r="V172" t="b">
        <v>0</v>
      </c>
      <c r="W172">
        <v>481</v>
      </c>
      <c r="X172">
        <v>0</v>
      </c>
      <c r="Y172">
        <v>0</v>
      </c>
      <c r="Z172">
        <v>1</v>
      </c>
      <c r="AA172">
        <v>0.69699999999999995</v>
      </c>
      <c r="AB172">
        <v>0.80800000000000005</v>
      </c>
      <c r="AC172">
        <v>0.91600000000000004</v>
      </c>
      <c r="AD172">
        <v>3</v>
      </c>
      <c r="AE172">
        <v>1</v>
      </c>
      <c r="AF172">
        <v>1.8560000000000001</v>
      </c>
      <c r="AG172">
        <v>3011.06</v>
      </c>
      <c r="AH172" t="s">
        <v>171</v>
      </c>
      <c r="AI172" t="s">
        <v>391</v>
      </c>
    </row>
    <row r="173" spans="1:35" x14ac:dyDescent="0.55000000000000004">
      <c r="A173">
        <v>483</v>
      </c>
      <c r="B173">
        <v>11.734999999999999</v>
      </c>
      <c r="C173">
        <v>745.55053999999996</v>
      </c>
      <c r="D173" t="s">
        <v>392</v>
      </c>
      <c r="E173" t="s">
        <v>1</v>
      </c>
      <c r="F173" t="s">
        <v>2</v>
      </c>
      <c r="G173">
        <v>0.46</v>
      </c>
      <c r="H173" t="b">
        <v>1</v>
      </c>
      <c r="I173">
        <v>8.5259999999999998</v>
      </c>
      <c r="J173">
        <v>745.55011000000002</v>
      </c>
      <c r="K173" t="s">
        <v>388</v>
      </c>
      <c r="L173" t="s">
        <v>181</v>
      </c>
      <c r="N173" t="s">
        <v>393</v>
      </c>
      <c r="O173" t="s">
        <v>403</v>
      </c>
      <c r="P173">
        <v>410</v>
      </c>
      <c r="Q173" t="b">
        <v>0</v>
      </c>
      <c r="R173" t="b">
        <v>1</v>
      </c>
      <c r="S173" t="b">
        <v>1</v>
      </c>
      <c r="T173" t="s">
        <v>7</v>
      </c>
      <c r="U173" t="b">
        <v>0</v>
      </c>
      <c r="V173" t="b">
        <v>0</v>
      </c>
      <c r="W173">
        <v>483</v>
      </c>
      <c r="X173">
        <v>0</v>
      </c>
      <c r="Y173">
        <v>0</v>
      </c>
      <c r="Z173">
        <v>1</v>
      </c>
      <c r="AA173">
        <v>0.91300000000000003</v>
      </c>
      <c r="AB173">
        <v>0.93</v>
      </c>
      <c r="AC173">
        <v>0.94</v>
      </c>
      <c r="AD173">
        <v>5</v>
      </c>
      <c r="AE173">
        <v>2</v>
      </c>
      <c r="AF173">
        <v>2.5830000000000002</v>
      </c>
      <c r="AG173">
        <v>47432.1</v>
      </c>
      <c r="AH173" t="s">
        <v>160</v>
      </c>
      <c r="AI173" t="s">
        <v>395</v>
      </c>
    </row>
    <row r="174" spans="1:35" x14ac:dyDescent="0.55000000000000004">
      <c r="A174">
        <v>488</v>
      </c>
      <c r="B174">
        <v>13.404</v>
      </c>
      <c r="C174">
        <v>746.51256999999998</v>
      </c>
      <c r="D174" t="s">
        <v>396</v>
      </c>
      <c r="E174" t="s">
        <v>32</v>
      </c>
      <c r="F174" t="s">
        <v>2</v>
      </c>
      <c r="G174">
        <v>0.38</v>
      </c>
      <c r="H174" t="b">
        <v>1</v>
      </c>
      <c r="I174">
        <v>9.3989999999999991</v>
      </c>
      <c r="J174">
        <v>746.51300000000003</v>
      </c>
      <c r="K174" t="s">
        <v>397</v>
      </c>
      <c r="L174" t="s">
        <v>124</v>
      </c>
      <c r="N174" t="s">
        <v>398</v>
      </c>
      <c r="O174" t="s">
        <v>407</v>
      </c>
      <c r="P174">
        <v>410</v>
      </c>
      <c r="Q174" t="b">
        <v>0</v>
      </c>
      <c r="R174" t="b">
        <v>1</v>
      </c>
      <c r="S174" t="b">
        <v>1</v>
      </c>
      <c r="T174" t="s">
        <v>7</v>
      </c>
      <c r="U174" t="b">
        <v>0</v>
      </c>
      <c r="V174" t="b">
        <v>0</v>
      </c>
      <c r="W174">
        <v>488</v>
      </c>
      <c r="X174">
        <v>0</v>
      </c>
      <c r="Y174">
        <v>0</v>
      </c>
      <c r="Z174">
        <v>1</v>
      </c>
      <c r="AA174">
        <v>0.29799999999999999</v>
      </c>
      <c r="AB174">
        <v>0.34899999999999998</v>
      </c>
      <c r="AC174">
        <v>0.95</v>
      </c>
      <c r="AD174">
        <v>3</v>
      </c>
      <c r="AE174">
        <v>2</v>
      </c>
      <c r="AF174">
        <v>2.331</v>
      </c>
      <c r="AG174">
        <v>506.99</v>
      </c>
      <c r="AH174" t="s">
        <v>311</v>
      </c>
      <c r="AI174" t="s">
        <v>400</v>
      </c>
    </row>
    <row r="175" spans="1:35" x14ac:dyDescent="0.55000000000000004">
      <c r="A175">
        <v>489</v>
      </c>
      <c r="B175">
        <v>13.84</v>
      </c>
      <c r="C175">
        <v>746.51262999999994</v>
      </c>
      <c r="D175" t="s">
        <v>401</v>
      </c>
      <c r="E175" t="s">
        <v>32</v>
      </c>
      <c r="F175" t="s">
        <v>2</v>
      </c>
      <c r="G175">
        <v>0.46</v>
      </c>
      <c r="H175" t="b">
        <v>1</v>
      </c>
      <c r="I175">
        <v>9.7189999999999994</v>
      </c>
      <c r="J175">
        <v>746.51300000000003</v>
      </c>
      <c r="K175" t="s">
        <v>397</v>
      </c>
      <c r="L175" t="s">
        <v>124</v>
      </c>
      <c r="N175" t="s">
        <v>402</v>
      </c>
      <c r="O175" t="s">
        <v>412</v>
      </c>
      <c r="P175">
        <v>410</v>
      </c>
      <c r="Q175" t="b">
        <v>0</v>
      </c>
      <c r="R175" t="b">
        <v>1</v>
      </c>
      <c r="S175" t="b">
        <v>1</v>
      </c>
      <c r="T175" t="s">
        <v>7</v>
      </c>
      <c r="U175" t="b">
        <v>0</v>
      </c>
      <c r="V175" t="b">
        <v>0</v>
      </c>
      <c r="W175">
        <v>489</v>
      </c>
      <c r="X175">
        <v>0</v>
      </c>
      <c r="Y175">
        <v>0</v>
      </c>
      <c r="Z175">
        <v>1</v>
      </c>
      <c r="AA175">
        <v>0.72599999999999998</v>
      </c>
      <c r="AB175">
        <v>0.81200000000000006</v>
      </c>
      <c r="AC175">
        <v>0.95399999999999996</v>
      </c>
      <c r="AD175">
        <v>3</v>
      </c>
      <c r="AE175">
        <v>2</v>
      </c>
      <c r="AF175">
        <v>2.5230000000000001</v>
      </c>
      <c r="AG175">
        <v>8454.32</v>
      </c>
      <c r="AH175" t="s">
        <v>110</v>
      </c>
      <c r="AI175" t="s">
        <v>404</v>
      </c>
    </row>
    <row r="176" spans="1:35" x14ac:dyDescent="0.55000000000000004">
      <c r="A176">
        <v>490</v>
      </c>
      <c r="B176">
        <v>13.227</v>
      </c>
      <c r="C176">
        <v>746.51404000000002</v>
      </c>
      <c r="D176" t="s">
        <v>405</v>
      </c>
      <c r="E176" t="s">
        <v>32</v>
      </c>
      <c r="F176" t="s">
        <v>2</v>
      </c>
      <c r="G176">
        <v>0.38</v>
      </c>
      <c r="H176" t="b">
        <v>1</v>
      </c>
      <c r="I176">
        <v>9.3490000000000002</v>
      </c>
      <c r="J176">
        <v>746.51300000000003</v>
      </c>
      <c r="K176" t="s">
        <v>397</v>
      </c>
      <c r="L176" t="s">
        <v>124</v>
      </c>
      <c r="N176" t="s">
        <v>406</v>
      </c>
      <c r="O176" t="s">
        <v>417</v>
      </c>
      <c r="P176">
        <v>420</v>
      </c>
      <c r="Q176" t="b">
        <v>0</v>
      </c>
      <c r="R176" t="b">
        <v>1</v>
      </c>
      <c r="S176" t="b">
        <v>1</v>
      </c>
      <c r="T176" t="s">
        <v>7</v>
      </c>
      <c r="U176" t="b">
        <v>0</v>
      </c>
      <c r="V176" t="b">
        <v>0</v>
      </c>
      <c r="W176">
        <v>490</v>
      </c>
      <c r="X176">
        <v>0</v>
      </c>
      <c r="Y176">
        <v>0</v>
      </c>
      <c r="Z176">
        <v>0.99</v>
      </c>
      <c r="AA176">
        <v>0.44500000000000001</v>
      </c>
      <c r="AB176">
        <v>0.40899999999999997</v>
      </c>
      <c r="AC176">
        <v>0.89900000000000002</v>
      </c>
      <c r="AD176">
        <v>3</v>
      </c>
      <c r="AE176">
        <v>2</v>
      </c>
      <c r="AF176">
        <v>2.35</v>
      </c>
      <c r="AG176">
        <v>615.37</v>
      </c>
      <c r="AH176" t="s">
        <v>160</v>
      </c>
      <c r="AI176" t="s">
        <v>408</v>
      </c>
    </row>
    <row r="177" spans="1:35" x14ac:dyDescent="0.55000000000000004">
      <c r="A177">
        <v>491</v>
      </c>
      <c r="B177">
        <v>15.696999999999999</v>
      </c>
      <c r="C177">
        <v>746.56841999999995</v>
      </c>
      <c r="D177" t="s">
        <v>409</v>
      </c>
      <c r="E177" t="s">
        <v>32</v>
      </c>
      <c r="F177" t="s">
        <v>2</v>
      </c>
      <c r="G177">
        <v>0.46</v>
      </c>
      <c r="H177" t="b">
        <v>1</v>
      </c>
      <c r="I177">
        <v>11.238</v>
      </c>
      <c r="J177">
        <v>746.57050000000004</v>
      </c>
      <c r="K177" t="s">
        <v>410</v>
      </c>
      <c r="L177" t="s">
        <v>209</v>
      </c>
      <c r="N177" t="s">
        <v>411</v>
      </c>
      <c r="O177" t="s">
        <v>421</v>
      </c>
      <c r="P177">
        <v>410</v>
      </c>
      <c r="Q177" t="b">
        <v>0</v>
      </c>
      <c r="R177" t="b">
        <v>1</v>
      </c>
      <c r="S177" t="b">
        <v>1</v>
      </c>
      <c r="T177" t="s">
        <v>7</v>
      </c>
      <c r="U177" t="b">
        <v>0</v>
      </c>
      <c r="V177" t="b">
        <v>0</v>
      </c>
      <c r="W177">
        <v>491</v>
      </c>
      <c r="X177">
        <v>0</v>
      </c>
      <c r="Y177">
        <v>0</v>
      </c>
      <c r="Z177">
        <v>0.99</v>
      </c>
      <c r="AA177">
        <v>0.879</v>
      </c>
      <c r="AB177">
        <v>0.89700000000000002</v>
      </c>
      <c r="AC177">
        <v>0.95499999999999996</v>
      </c>
      <c r="AD177">
        <v>7</v>
      </c>
      <c r="AE177">
        <v>2</v>
      </c>
      <c r="AF177">
        <v>2.5720000000000001</v>
      </c>
      <c r="AG177">
        <v>1215.69</v>
      </c>
      <c r="AH177" t="s">
        <v>160</v>
      </c>
      <c r="AI177" t="s">
        <v>413</v>
      </c>
    </row>
    <row r="178" spans="1:35" x14ac:dyDescent="0.55000000000000004">
      <c r="A178">
        <v>495</v>
      </c>
      <c r="B178">
        <v>13.278</v>
      </c>
      <c r="C178">
        <v>747.56511999999998</v>
      </c>
      <c r="D178" t="s">
        <v>414</v>
      </c>
      <c r="E178" t="s">
        <v>1</v>
      </c>
      <c r="F178" t="s">
        <v>2</v>
      </c>
      <c r="G178">
        <v>0.46</v>
      </c>
      <c r="H178" t="b">
        <v>1</v>
      </c>
      <c r="I178">
        <v>8.9290000000000003</v>
      </c>
      <c r="J178">
        <v>747.56579999999997</v>
      </c>
      <c r="K178" t="s">
        <v>415</v>
      </c>
      <c r="L178" t="s">
        <v>181</v>
      </c>
      <c r="N178" t="s">
        <v>416</v>
      </c>
      <c r="O178" t="s">
        <v>426</v>
      </c>
      <c r="P178">
        <v>410</v>
      </c>
      <c r="Q178" t="b">
        <v>0</v>
      </c>
      <c r="R178" t="b">
        <v>1</v>
      </c>
      <c r="S178" t="b">
        <v>1</v>
      </c>
      <c r="T178" t="s">
        <v>7</v>
      </c>
      <c r="U178" t="b">
        <v>0</v>
      </c>
      <c r="V178" t="b">
        <v>0</v>
      </c>
      <c r="W178">
        <v>495</v>
      </c>
      <c r="X178">
        <v>0</v>
      </c>
      <c r="Y178">
        <v>0</v>
      </c>
      <c r="Z178">
        <v>1</v>
      </c>
      <c r="AA178">
        <v>0.69599999999999995</v>
      </c>
      <c r="AB178">
        <v>0.78900000000000003</v>
      </c>
      <c r="AC178">
        <v>0.94699999999999995</v>
      </c>
      <c r="AD178">
        <v>4</v>
      </c>
      <c r="AE178">
        <v>1</v>
      </c>
      <c r="AF178">
        <v>1.8660000000000001</v>
      </c>
      <c r="AG178">
        <v>186452.3</v>
      </c>
      <c r="AH178" t="s">
        <v>160</v>
      </c>
      <c r="AI178" t="s">
        <v>418</v>
      </c>
    </row>
    <row r="179" spans="1:35" x14ac:dyDescent="0.55000000000000004">
      <c r="A179">
        <v>497</v>
      </c>
      <c r="B179">
        <v>13.037000000000001</v>
      </c>
      <c r="C179">
        <v>747.56597999999997</v>
      </c>
      <c r="D179" t="s">
        <v>419</v>
      </c>
      <c r="E179" t="s">
        <v>1</v>
      </c>
      <c r="F179" t="s">
        <v>2</v>
      </c>
      <c r="G179">
        <v>0.46</v>
      </c>
      <c r="H179" t="b">
        <v>1</v>
      </c>
      <c r="I179">
        <v>8.8629999999999995</v>
      </c>
      <c r="J179">
        <v>747.56579999999997</v>
      </c>
      <c r="K179" t="s">
        <v>415</v>
      </c>
      <c r="L179" t="s">
        <v>181</v>
      </c>
      <c r="N179" t="s">
        <v>420</v>
      </c>
      <c r="O179" t="s">
        <v>430</v>
      </c>
      <c r="P179">
        <v>410</v>
      </c>
      <c r="Q179" t="b">
        <v>0</v>
      </c>
      <c r="R179" t="b">
        <v>1</v>
      </c>
      <c r="S179" t="b">
        <v>1</v>
      </c>
      <c r="T179" t="s">
        <v>7</v>
      </c>
      <c r="U179" t="b">
        <v>0</v>
      </c>
      <c r="V179" t="b">
        <v>0</v>
      </c>
      <c r="W179">
        <v>497</v>
      </c>
      <c r="X179">
        <v>0</v>
      </c>
      <c r="Y179">
        <v>0</v>
      </c>
      <c r="Z179">
        <v>1</v>
      </c>
      <c r="AA179">
        <v>0.81599999999999995</v>
      </c>
      <c r="AB179">
        <v>0.91500000000000004</v>
      </c>
      <c r="AC179">
        <v>0.91800000000000004</v>
      </c>
      <c r="AD179">
        <v>4</v>
      </c>
      <c r="AE179">
        <v>2</v>
      </c>
      <c r="AF179">
        <v>2.5489999999999999</v>
      </c>
      <c r="AG179">
        <v>2902.05</v>
      </c>
      <c r="AH179" t="s">
        <v>160</v>
      </c>
      <c r="AI179" t="s">
        <v>422</v>
      </c>
    </row>
    <row r="180" spans="1:35" x14ac:dyDescent="0.55000000000000004">
      <c r="A180">
        <v>498</v>
      </c>
      <c r="B180">
        <v>14.648999999999999</v>
      </c>
      <c r="C180">
        <v>748.52630999999997</v>
      </c>
      <c r="D180" t="s">
        <v>423</v>
      </c>
      <c r="E180" t="s">
        <v>32</v>
      </c>
      <c r="F180" t="s">
        <v>2</v>
      </c>
      <c r="G180">
        <v>0.46</v>
      </c>
      <c r="H180" t="b">
        <v>1</v>
      </c>
      <c r="I180">
        <v>10.148999999999999</v>
      </c>
      <c r="J180">
        <v>748.52868999999998</v>
      </c>
      <c r="K180" t="s">
        <v>424</v>
      </c>
      <c r="L180" t="s">
        <v>124</v>
      </c>
      <c r="N180" t="s">
        <v>425</v>
      </c>
      <c r="O180" t="s">
        <v>434</v>
      </c>
      <c r="P180">
        <v>410</v>
      </c>
      <c r="Q180" t="b">
        <v>0</v>
      </c>
      <c r="R180" t="b">
        <v>1</v>
      </c>
      <c r="S180" t="b">
        <v>1</v>
      </c>
      <c r="T180" t="s">
        <v>7</v>
      </c>
      <c r="U180" t="b">
        <v>0</v>
      </c>
      <c r="V180" t="b">
        <v>0</v>
      </c>
      <c r="W180">
        <v>498</v>
      </c>
      <c r="X180">
        <v>0</v>
      </c>
      <c r="Y180">
        <v>0</v>
      </c>
      <c r="Z180">
        <v>0.97</v>
      </c>
      <c r="AA180">
        <v>0.67700000000000005</v>
      </c>
      <c r="AB180">
        <v>0.73499999999999999</v>
      </c>
      <c r="AC180">
        <v>0.93899999999999995</v>
      </c>
      <c r="AD180">
        <v>3</v>
      </c>
      <c r="AE180">
        <v>2</v>
      </c>
      <c r="AF180">
        <v>2.4750000000000001</v>
      </c>
      <c r="AG180">
        <v>2103.29</v>
      </c>
      <c r="AH180" t="s">
        <v>160</v>
      </c>
      <c r="AI180" t="s">
        <v>427</v>
      </c>
    </row>
    <row r="181" spans="1:35" x14ac:dyDescent="0.55000000000000004">
      <c r="A181">
        <v>499</v>
      </c>
      <c r="B181">
        <v>14.311</v>
      </c>
      <c r="C181">
        <v>748.52710000000002</v>
      </c>
      <c r="D181" t="s">
        <v>428</v>
      </c>
      <c r="E181" t="s">
        <v>32</v>
      </c>
      <c r="F181" t="s">
        <v>2</v>
      </c>
      <c r="G181">
        <v>0.46</v>
      </c>
      <c r="H181" t="b">
        <v>1</v>
      </c>
      <c r="I181">
        <v>9.9570000000000007</v>
      </c>
      <c r="J181">
        <v>748.52868999999998</v>
      </c>
      <c r="K181" t="s">
        <v>424</v>
      </c>
      <c r="L181" t="s">
        <v>124</v>
      </c>
      <c r="N181" t="s">
        <v>429</v>
      </c>
      <c r="O181" t="s">
        <v>439</v>
      </c>
      <c r="P181">
        <v>410</v>
      </c>
      <c r="Q181" t="b">
        <v>0</v>
      </c>
      <c r="R181" t="b">
        <v>1</v>
      </c>
      <c r="S181" t="b">
        <v>1</v>
      </c>
      <c r="T181" t="s">
        <v>7</v>
      </c>
      <c r="U181" t="b">
        <v>0</v>
      </c>
      <c r="V181" t="b">
        <v>0</v>
      </c>
      <c r="W181">
        <v>499</v>
      </c>
      <c r="X181">
        <v>0</v>
      </c>
      <c r="Y181">
        <v>0</v>
      </c>
      <c r="Z181">
        <v>1</v>
      </c>
      <c r="AA181">
        <v>0.71499999999999997</v>
      </c>
      <c r="AB181">
        <v>0.746</v>
      </c>
      <c r="AC181">
        <v>0.93700000000000006</v>
      </c>
      <c r="AD181">
        <v>3</v>
      </c>
      <c r="AE181">
        <v>2</v>
      </c>
      <c r="AF181">
        <v>2.5</v>
      </c>
      <c r="AG181">
        <v>20829.169999999998</v>
      </c>
      <c r="AH181" t="s">
        <v>110</v>
      </c>
      <c r="AI181" t="s">
        <v>431</v>
      </c>
    </row>
    <row r="182" spans="1:35" x14ac:dyDescent="0.55000000000000004">
      <c r="A182">
        <v>500</v>
      </c>
      <c r="B182">
        <v>14.074</v>
      </c>
      <c r="C182">
        <v>748.52808000000005</v>
      </c>
      <c r="D182" t="s">
        <v>432</v>
      </c>
      <c r="E182" t="s">
        <v>32</v>
      </c>
      <c r="F182" t="s">
        <v>2</v>
      </c>
      <c r="G182">
        <v>0.46</v>
      </c>
      <c r="H182" t="b">
        <v>1</v>
      </c>
      <c r="I182">
        <v>9.6289999999999996</v>
      </c>
      <c r="J182">
        <v>748.52868999999998</v>
      </c>
      <c r="K182" t="s">
        <v>424</v>
      </c>
      <c r="L182" t="s">
        <v>124</v>
      </c>
      <c r="N182" t="s">
        <v>433</v>
      </c>
      <c r="O182" t="s">
        <v>444</v>
      </c>
      <c r="P182">
        <v>410</v>
      </c>
      <c r="Q182" t="b">
        <v>0</v>
      </c>
      <c r="R182" t="b">
        <v>1</v>
      </c>
      <c r="S182" t="b">
        <v>1</v>
      </c>
      <c r="T182" t="s">
        <v>7</v>
      </c>
      <c r="U182" t="b">
        <v>0</v>
      </c>
      <c r="V182" t="b">
        <v>0</v>
      </c>
      <c r="W182">
        <v>500</v>
      </c>
      <c r="X182">
        <v>0</v>
      </c>
      <c r="Y182">
        <v>0</v>
      </c>
      <c r="Z182">
        <v>1</v>
      </c>
      <c r="AA182">
        <v>0.72399999999999998</v>
      </c>
      <c r="AB182">
        <v>0.78400000000000003</v>
      </c>
      <c r="AC182">
        <v>0.95799999999999996</v>
      </c>
      <c r="AD182">
        <v>3</v>
      </c>
      <c r="AE182">
        <v>2</v>
      </c>
      <c r="AF182">
        <v>2.5179999999999998</v>
      </c>
      <c r="AG182">
        <v>1747.98</v>
      </c>
      <c r="AH182" t="s">
        <v>288</v>
      </c>
      <c r="AI182" t="s">
        <v>435</v>
      </c>
    </row>
    <row r="183" spans="1:35" x14ac:dyDescent="0.55000000000000004">
      <c r="A183">
        <v>505</v>
      </c>
      <c r="B183">
        <v>13.840999999999999</v>
      </c>
      <c r="C183">
        <v>749.57947000000001</v>
      </c>
      <c r="D183" t="s">
        <v>436</v>
      </c>
      <c r="E183" t="s">
        <v>1</v>
      </c>
      <c r="F183" t="s">
        <v>2</v>
      </c>
      <c r="G183">
        <v>0.46</v>
      </c>
      <c r="H183" t="b">
        <v>1</v>
      </c>
      <c r="I183">
        <v>9.2129999999999992</v>
      </c>
      <c r="J183">
        <v>749.58141999999998</v>
      </c>
      <c r="K183" t="s">
        <v>437</v>
      </c>
      <c r="L183" t="s">
        <v>181</v>
      </c>
      <c r="N183" t="s">
        <v>438</v>
      </c>
      <c r="O183" t="s">
        <v>449</v>
      </c>
      <c r="P183">
        <v>410</v>
      </c>
      <c r="Q183" t="b">
        <v>0</v>
      </c>
      <c r="R183" t="b">
        <v>1</v>
      </c>
      <c r="S183" t="b">
        <v>1</v>
      </c>
      <c r="T183" t="s">
        <v>7</v>
      </c>
      <c r="U183" t="b">
        <v>0</v>
      </c>
      <c r="V183" t="b">
        <v>0</v>
      </c>
      <c r="W183">
        <v>505</v>
      </c>
      <c r="X183">
        <v>0</v>
      </c>
      <c r="Y183">
        <v>0</v>
      </c>
      <c r="Z183">
        <v>1</v>
      </c>
      <c r="AA183">
        <v>0.875</v>
      </c>
      <c r="AB183">
        <v>0.93799999999999994</v>
      </c>
      <c r="AC183">
        <v>0.94099999999999995</v>
      </c>
      <c r="AD183">
        <v>5</v>
      </c>
      <c r="AE183">
        <v>2</v>
      </c>
      <c r="AF183">
        <v>2.577</v>
      </c>
      <c r="AG183">
        <v>12676.68</v>
      </c>
      <c r="AH183" t="s">
        <v>110</v>
      </c>
      <c r="AI183" t="s">
        <v>440</v>
      </c>
    </row>
    <row r="184" spans="1:35" x14ac:dyDescent="0.55000000000000004">
      <c r="A184">
        <v>511</v>
      </c>
      <c r="B184">
        <v>14.425000000000001</v>
      </c>
      <c r="C184">
        <v>750.54376000000002</v>
      </c>
      <c r="D184" t="s">
        <v>441</v>
      </c>
      <c r="E184" t="s">
        <v>32</v>
      </c>
      <c r="F184" t="s">
        <v>2</v>
      </c>
      <c r="G184">
        <v>0.15</v>
      </c>
      <c r="H184" t="b">
        <v>1</v>
      </c>
      <c r="I184">
        <v>10.622</v>
      </c>
      <c r="J184">
        <v>750.54431</v>
      </c>
      <c r="K184" t="s">
        <v>442</v>
      </c>
      <c r="L184" t="s">
        <v>124</v>
      </c>
      <c r="N184" t="s">
        <v>443</v>
      </c>
      <c r="O184" t="s">
        <v>444</v>
      </c>
      <c r="P184">
        <v>410</v>
      </c>
      <c r="Q184" t="b">
        <v>0</v>
      </c>
      <c r="R184" t="b">
        <v>1</v>
      </c>
      <c r="S184" t="b">
        <v>1</v>
      </c>
      <c r="T184" t="s">
        <v>7</v>
      </c>
      <c r="U184" t="b">
        <v>0</v>
      </c>
      <c r="V184" t="b">
        <v>0</v>
      </c>
      <c r="W184">
        <v>511</v>
      </c>
      <c r="X184">
        <v>0</v>
      </c>
      <c r="Y184">
        <v>0</v>
      </c>
      <c r="Z184">
        <v>1</v>
      </c>
      <c r="AA184">
        <v>0.61499999999999999</v>
      </c>
      <c r="AB184">
        <v>0.66700000000000004</v>
      </c>
      <c r="AC184">
        <v>0.95899999999999996</v>
      </c>
      <c r="AD184">
        <v>3</v>
      </c>
      <c r="AE184">
        <v>2</v>
      </c>
      <c r="AF184">
        <v>2.4700000000000002</v>
      </c>
      <c r="AG184">
        <v>4603.74</v>
      </c>
      <c r="AH184" t="s">
        <v>445</v>
      </c>
      <c r="AI184" t="s">
        <v>446</v>
      </c>
    </row>
    <row r="185" spans="1:35" x14ac:dyDescent="0.55000000000000004">
      <c r="A185">
        <v>512</v>
      </c>
      <c r="B185">
        <v>14.503</v>
      </c>
      <c r="C185">
        <v>750.54400999999996</v>
      </c>
      <c r="D185" t="s">
        <v>447</v>
      </c>
      <c r="E185" t="s">
        <v>32</v>
      </c>
      <c r="F185" t="s">
        <v>2</v>
      </c>
      <c r="G185">
        <v>0.31</v>
      </c>
      <c r="H185" t="b">
        <v>1</v>
      </c>
      <c r="I185">
        <v>10.188000000000001</v>
      </c>
      <c r="J185">
        <v>750.54431</v>
      </c>
      <c r="K185" t="s">
        <v>442</v>
      </c>
      <c r="L185" t="s">
        <v>124</v>
      </c>
      <c r="N185" t="s">
        <v>448</v>
      </c>
      <c r="O185" t="s">
        <v>444</v>
      </c>
      <c r="P185">
        <v>410</v>
      </c>
      <c r="Q185" t="b">
        <v>0</v>
      </c>
      <c r="R185" t="b">
        <v>1</v>
      </c>
      <c r="S185" t="b">
        <v>1</v>
      </c>
      <c r="T185" t="s">
        <v>7</v>
      </c>
      <c r="U185" t="b">
        <v>0</v>
      </c>
      <c r="V185" t="b">
        <v>0</v>
      </c>
      <c r="W185">
        <v>512</v>
      </c>
      <c r="X185">
        <v>0</v>
      </c>
      <c r="Y185">
        <v>0</v>
      </c>
      <c r="Z185">
        <v>1</v>
      </c>
      <c r="AA185">
        <v>0.56899999999999995</v>
      </c>
      <c r="AB185">
        <v>0.63400000000000001</v>
      </c>
      <c r="AC185">
        <v>0.96099999999999997</v>
      </c>
      <c r="AD185">
        <v>3</v>
      </c>
      <c r="AE185">
        <v>2</v>
      </c>
      <c r="AF185">
        <v>2.4540000000000002</v>
      </c>
      <c r="AG185">
        <v>3087.98</v>
      </c>
      <c r="AH185" t="s">
        <v>450</v>
      </c>
      <c r="AI185" t="s">
        <v>451</v>
      </c>
    </row>
    <row r="186" spans="1:35" x14ac:dyDescent="0.55000000000000004">
      <c r="A186">
        <v>514</v>
      </c>
      <c r="B186">
        <v>15.384</v>
      </c>
      <c r="C186">
        <v>750.54431</v>
      </c>
      <c r="D186" t="s">
        <v>441</v>
      </c>
      <c r="E186" t="s">
        <v>32</v>
      </c>
      <c r="F186" t="s">
        <v>2</v>
      </c>
      <c r="G186">
        <v>0.23</v>
      </c>
      <c r="H186" t="b">
        <v>1</v>
      </c>
      <c r="I186">
        <v>10.622</v>
      </c>
      <c r="J186">
        <v>750.54431</v>
      </c>
      <c r="K186" t="s">
        <v>442</v>
      </c>
      <c r="L186" t="s">
        <v>124</v>
      </c>
      <c r="N186" t="s">
        <v>443</v>
      </c>
      <c r="O186" t="s">
        <v>458</v>
      </c>
      <c r="P186">
        <v>410</v>
      </c>
      <c r="Q186" t="b">
        <v>0</v>
      </c>
      <c r="R186" t="b">
        <v>1</v>
      </c>
      <c r="S186" t="b">
        <v>1</v>
      </c>
      <c r="T186" t="s">
        <v>7</v>
      </c>
      <c r="U186" t="b">
        <v>0</v>
      </c>
      <c r="V186" t="b">
        <v>0</v>
      </c>
      <c r="W186">
        <v>514</v>
      </c>
      <c r="X186">
        <v>0</v>
      </c>
      <c r="Y186">
        <v>0</v>
      </c>
      <c r="Z186">
        <v>1</v>
      </c>
      <c r="AA186">
        <v>0.433</v>
      </c>
      <c r="AB186">
        <v>0.49</v>
      </c>
      <c r="AC186">
        <v>0.92200000000000004</v>
      </c>
      <c r="AD186">
        <v>3</v>
      </c>
      <c r="AE186">
        <v>2</v>
      </c>
      <c r="AF186">
        <v>2.3780000000000001</v>
      </c>
      <c r="AG186">
        <v>79126.64</v>
      </c>
      <c r="AH186" t="s">
        <v>452</v>
      </c>
      <c r="AI186" t="s">
        <v>453</v>
      </c>
    </row>
    <row r="187" spans="1:35" x14ac:dyDescent="0.55000000000000004">
      <c r="A187">
        <v>515</v>
      </c>
      <c r="B187">
        <v>15.448</v>
      </c>
      <c r="C187">
        <v>750.54449</v>
      </c>
      <c r="D187" t="s">
        <v>441</v>
      </c>
      <c r="E187" t="s">
        <v>32</v>
      </c>
      <c r="F187" t="s">
        <v>2</v>
      </c>
      <c r="G187">
        <v>0.23</v>
      </c>
      <c r="H187" t="b">
        <v>1</v>
      </c>
      <c r="I187">
        <v>10.622</v>
      </c>
      <c r="J187">
        <v>750.54431</v>
      </c>
      <c r="K187" t="s">
        <v>442</v>
      </c>
      <c r="L187" t="s">
        <v>124</v>
      </c>
      <c r="N187" t="s">
        <v>443</v>
      </c>
      <c r="O187" t="s">
        <v>444</v>
      </c>
      <c r="P187">
        <v>410</v>
      </c>
      <c r="Q187" t="b">
        <v>0</v>
      </c>
      <c r="R187" t="b">
        <v>1</v>
      </c>
      <c r="S187" t="b">
        <v>1</v>
      </c>
      <c r="T187" t="s">
        <v>7</v>
      </c>
      <c r="U187" t="b">
        <v>0</v>
      </c>
      <c r="V187" t="b">
        <v>0</v>
      </c>
      <c r="W187">
        <v>515</v>
      </c>
      <c r="X187">
        <v>0</v>
      </c>
      <c r="Y187">
        <v>0</v>
      </c>
      <c r="Z187">
        <v>0.98</v>
      </c>
      <c r="AA187">
        <v>0.85899999999999999</v>
      </c>
      <c r="AB187">
        <v>0.85499999999999998</v>
      </c>
      <c r="AC187">
        <v>0.91300000000000003</v>
      </c>
      <c r="AD187">
        <v>3</v>
      </c>
      <c r="AE187">
        <v>2</v>
      </c>
      <c r="AF187">
        <v>2.536</v>
      </c>
      <c r="AG187">
        <v>52448.98</v>
      </c>
      <c r="AH187" t="s">
        <v>454</v>
      </c>
      <c r="AI187" t="s">
        <v>455</v>
      </c>
    </row>
    <row r="188" spans="1:35" x14ac:dyDescent="0.55000000000000004">
      <c r="A188">
        <v>516</v>
      </c>
      <c r="B188">
        <v>15.118</v>
      </c>
      <c r="C188">
        <v>750.54480000000001</v>
      </c>
      <c r="D188" t="s">
        <v>456</v>
      </c>
      <c r="E188" t="s">
        <v>32</v>
      </c>
      <c r="F188" t="s">
        <v>2</v>
      </c>
      <c r="G188">
        <v>0.31</v>
      </c>
      <c r="H188" t="b">
        <v>1</v>
      </c>
      <c r="I188">
        <v>10.603999999999999</v>
      </c>
      <c r="J188">
        <v>750.54431</v>
      </c>
      <c r="K188" t="s">
        <v>442</v>
      </c>
      <c r="L188" t="s">
        <v>124</v>
      </c>
      <c r="N188" t="s">
        <v>457</v>
      </c>
      <c r="O188" t="s">
        <v>464</v>
      </c>
      <c r="P188">
        <v>410</v>
      </c>
      <c r="Q188" t="b">
        <v>0</v>
      </c>
      <c r="R188" t="b">
        <v>1</v>
      </c>
      <c r="S188" t="b">
        <v>1</v>
      </c>
      <c r="T188" t="s">
        <v>7</v>
      </c>
      <c r="U188" t="b">
        <v>0</v>
      </c>
      <c r="V188" t="b">
        <v>0</v>
      </c>
      <c r="W188">
        <v>516</v>
      </c>
      <c r="X188">
        <v>0</v>
      </c>
      <c r="Y188">
        <v>0</v>
      </c>
      <c r="Z188">
        <v>1</v>
      </c>
      <c r="AA188">
        <v>0.79</v>
      </c>
      <c r="AB188">
        <v>0.82199999999999995</v>
      </c>
      <c r="AC188">
        <v>0.91700000000000004</v>
      </c>
      <c r="AD188">
        <v>3</v>
      </c>
      <c r="AE188">
        <v>2</v>
      </c>
      <c r="AF188">
        <v>2.5230000000000001</v>
      </c>
      <c r="AG188">
        <v>2211.2800000000002</v>
      </c>
      <c r="AH188" t="s">
        <v>450</v>
      </c>
      <c r="AI188" t="s">
        <v>459</v>
      </c>
    </row>
    <row r="189" spans="1:35" x14ac:dyDescent="0.55000000000000004">
      <c r="A189">
        <v>517</v>
      </c>
      <c r="B189">
        <v>13.9</v>
      </c>
      <c r="C189">
        <v>750.54596000000004</v>
      </c>
      <c r="D189" t="s">
        <v>441</v>
      </c>
      <c r="E189" t="s">
        <v>32</v>
      </c>
      <c r="F189" t="s">
        <v>2</v>
      </c>
      <c r="G189">
        <v>0.08</v>
      </c>
      <c r="H189" t="b">
        <v>1</v>
      </c>
      <c r="I189">
        <v>10.622</v>
      </c>
      <c r="J189">
        <v>750.54431</v>
      </c>
      <c r="K189" t="s">
        <v>442</v>
      </c>
      <c r="L189" t="s">
        <v>124</v>
      </c>
      <c r="N189" t="s">
        <v>443</v>
      </c>
      <c r="O189" t="s">
        <v>464</v>
      </c>
      <c r="P189">
        <v>410</v>
      </c>
      <c r="Q189" t="b">
        <v>0</v>
      </c>
      <c r="R189" t="b">
        <v>1</v>
      </c>
      <c r="S189" t="b">
        <v>1</v>
      </c>
      <c r="T189" t="s">
        <v>7</v>
      </c>
      <c r="U189" t="b">
        <v>0</v>
      </c>
      <c r="V189" t="b">
        <v>0</v>
      </c>
      <c r="W189">
        <v>517</v>
      </c>
      <c r="X189">
        <v>0</v>
      </c>
      <c r="Y189">
        <v>0</v>
      </c>
      <c r="Z189">
        <v>0.98</v>
      </c>
      <c r="AA189">
        <v>0.67200000000000004</v>
      </c>
      <c r="AB189">
        <v>0.63100000000000001</v>
      </c>
      <c r="AC189">
        <v>0.9</v>
      </c>
      <c r="AD189">
        <v>3</v>
      </c>
      <c r="AE189">
        <v>2</v>
      </c>
      <c r="AF189">
        <v>2.4390000000000001</v>
      </c>
      <c r="AG189">
        <v>2063.9499999999998</v>
      </c>
      <c r="AH189" t="s">
        <v>452</v>
      </c>
      <c r="AI189" t="s">
        <v>460</v>
      </c>
    </row>
    <row r="190" spans="1:35" x14ac:dyDescent="0.55000000000000004">
      <c r="A190">
        <v>532</v>
      </c>
      <c r="B190">
        <v>14.079000000000001</v>
      </c>
      <c r="C190">
        <v>752.56006000000002</v>
      </c>
      <c r="D190" t="s">
        <v>461</v>
      </c>
      <c r="E190" t="s">
        <v>32</v>
      </c>
      <c r="F190" t="s">
        <v>2</v>
      </c>
      <c r="G190">
        <v>0.15</v>
      </c>
      <c r="H190" t="b">
        <v>1</v>
      </c>
      <c r="I190">
        <v>10.811</v>
      </c>
      <c r="J190">
        <v>752.56</v>
      </c>
      <c r="K190" t="s">
        <v>462</v>
      </c>
      <c r="L190" t="s">
        <v>124</v>
      </c>
      <c r="N190" t="s">
        <v>463</v>
      </c>
      <c r="O190" t="s">
        <v>464</v>
      </c>
      <c r="P190">
        <v>410</v>
      </c>
      <c r="Q190" t="b">
        <v>0</v>
      </c>
      <c r="R190" t="b">
        <v>1</v>
      </c>
      <c r="S190" t="b">
        <v>1</v>
      </c>
      <c r="T190" t="s">
        <v>7</v>
      </c>
      <c r="U190" t="b">
        <v>0</v>
      </c>
      <c r="V190" t="b">
        <v>0</v>
      </c>
      <c r="W190">
        <v>532</v>
      </c>
      <c r="X190">
        <v>0</v>
      </c>
      <c r="Y190">
        <v>0</v>
      </c>
      <c r="Z190">
        <v>1</v>
      </c>
      <c r="AA190">
        <v>0.49299999999999999</v>
      </c>
      <c r="AB190">
        <v>0.48399999999999999</v>
      </c>
      <c r="AC190">
        <v>0.83899999999999997</v>
      </c>
      <c r="AD190">
        <v>3</v>
      </c>
      <c r="AE190">
        <v>2</v>
      </c>
      <c r="AF190">
        <v>2.355</v>
      </c>
      <c r="AG190">
        <v>2154.67</v>
      </c>
      <c r="AH190" t="s">
        <v>445</v>
      </c>
      <c r="AI190" t="s">
        <v>465</v>
      </c>
    </row>
    <row r="191" spans="1:35" x14ac:dyDescent="0.55000000000000004">
      <c r="A191">
        <v>533</v>
      </c>
      <c r="B191">
        <v>15.615</v>
      </c>
      <c r="C191">
        <v>752.56024000000002</v>
      </c>
      <c r="D191" t="s">
        <v>461</v>
      </c>
      <c r="E191" t="s">
        <v>32</v>
      </c>
      <c r="F191" t="s">
        <v>2</v>
      </c>
      <c r="G191">
        <v>0.31</v>
      </c>
      <c r="H191" t="b">
        <v>1</v>
      </c>
      <c r="I191">
        <v>10.811</v>
      </c>
      <c r="J191">
        <v>752.56</v>
      </c>
      <c r="K191" t="s">
        <v>462</v>
      </c>
      <c r="L191" t="s">
        <v>124</v>
      </c>
      <c r="N191" t="s">
        <v>463</v>
      </c>
      <c r="O191" t="s">
        <v>464</v>
      </c>
      <c r="P191">
        <v>410</v>
      </c>
      <c r="Q191" t="b">
        <v>0</v>
      </c>
      <c r="R191" t="b">
        <v>1</v>
      </c>
      <c r="S191" t="b">
        <v>1</v>
      </c>
      <c r="T191" t="s">
        <v>7</v>
      </c>
      <c r="U191" t="b">
        <v>0</v>
      </c>
      <c r="V191" t="b">
        <v>0</v>
      </c>
      <c r="W191">
        <v>533</v>
      </c>
      <c r="X191">
        <v>0</v>
      </c>
      <c r="Y191">
        <v>0</v>
      </c>
      <c r="Z191">
        <v>0.97</v>
      </c>
      <c r="AA191">
        <v>0.61899999999999999</v>
      </c>
      <c r="AB191">
        <v>0.67900000000000005</v>
      </c>
      <c r="AC191">
        <v>0.94</v>
      </c>
      <c r="AD191">
        <v>3</v>
      </c>
      <c r="AE191">
        <v>2</v>
      </c>
      <c r="AF191">
        <v>2.4540000000000002</v>
      </c>
      <c r="AG191">
        <v>2407.75</v>
      </c>
      <c r="AH191" t="s">
        <v>454</v>
      </c>
      <c r="AI191" t="s">
        <v>466</v>
      </c>
    </row>
    <row r="192" spans="1:35" x14ac:dyDescent="0.55000000000000004">
      <c r="A192">
        <v>534</v>
      </c>
      <c r="B192">
        <v>14.173999999999999</v>
      </c>
      <c r="C192">
        <v>752.56029999999998</v>
      </c>
      <c r="D192" t="s">
        <v>461</v>
      </c>
      <c r="E192" t="s">
        <v>32</v>
      </c>
      <c r="F192" t="s">
        <v>2</v>
      </c>
      <c r="G192">
        <v>0.31</v>
      </c>
      <c r="H192" t="b">
        <v>1</v>
      </c>
      <c r="I192">
        <v>10.811</v>
      </c>
      <c r="J192">
        <v>752.56</v>
      </c>
      <c r="K192" t="s">
        <v>462</v>
      </c>
      <c r="L192" t="s">
        <v>124</v>
      </c>
      <c r="N192" t="s">
        <v>463</v>
      </c>
      <c r="O192" t="s">
        <v>464</v>
      </c>
      <c r="P192">
        <v>410</v>
      </c>
      <c r="Q192" t="b">
        <v>0</v>
      </c>
      <c r="R192" t="b">
        <v>1</v>
      </c>
      <c r="S192" t="b">
        <v>1</v>
      </c>
      <c r="T192" t="s">
        <v>7</v>
      </c>
      <c r="U192" t="b">
        <v>0</v>
      </c>
      <c r="V192" t="b">
        <v>0</v>
      </c>
      <c r="W192">
        <v>534</v>
      </c>
      <c r="X192">
        <v>0</v>
      </c>
      <c r="Y192">
        <v>0</v>
      </c>
      <c r="Z192">
        <v>1</v>
      </c>
      <c r="AA192">
        <v>0.81399999999999995</v>
      </c>
      <c r="AB192">
        <v>0.83199999999999996</v>
      </c>
      <c r="AC192">
        <v>0.92100000000000004</v>
      </c>
      <c r="AD192">
        <v>3</v>
      </c>
      <c r="AE192">
        <v>2</v>
      </c>
      <c r="AF192">
        <v>2.5329999999999999</v>
      </c>
      <c r="AG192">
        <v>1397.6</v>
      </c>
      <c r="AH192" t="s">
        <v>450</v>
      </c>
      <c r="AI192" t="s">
        <v>467</v>
      </c>
    </row>
    <row r="193" spans="1:35" x14ac:dyDescent="0.55000000000000004">
      <c r="A193">
        <v>535</v>
      </c>
      <c r="B193">
        <v>15.548</v>
      </c>
      <c r="C193">
        <v>752.56042000000002</v>
      </c>
      <c r="D193" t="s">
        <v>461</v>
      </c>
      <c r="E193" t="s">
        <v>32</v>
      </c>
      <c r="F193" t="s">
        <v>2</v>
      </c>
      <c r="G193">
        <v>0.15</v>
      </c>
      <c r="H193" t="b">
        <v>1</v>
      </c>
      <c r="I193">
        <v>10.811</v>
      </c>
      <c r="J193">
        <v>752.56</v>
      </c>
      <c r="K193" t="s">
        <v>462</v>
      </c>
      <c r="L193" t="s">
        <v>124</v>
      </c>
      <c r="N193" t="s">
        <v>463</v>
      </c>
      <c r="O193" t="s">
        <v>474</v>
      </c>
      <c r="P193">
        <v>410</v>
      </c>
      <c r="Q193" t="b">
        <v>0</v>
      </c>
      <c r="R193" t="b">
        <v>1</v>
      </c>
      <c r="S193" t="b">
        <v>1</v>
      </c>
      <c r="T193" t="s">
        <v>7</v>
      </c>
      <c r="U193" t="b">
        <v>0</v>
      </c>
      <c r="V193" t="b">
        <v>0</v>
      </c>
      <c r="W193">
        <v>535</v>
      </c>
      <c r="X193">
        <v>0</v>
      </c>
      <c r="Y193">
        <v>0</v>
      </c>
      <c r="Z193">
        <v>1</v>
      </c>
      <c r="AA193">
        <v>0.76200000000000001</v>
      </c>
      <c r="AB193">
        <v>0.79700000000000004</v>
      </c>
      <c r="AC193">
        <v>0.93300000000000005</v>
      </c>
      <c r="AD193">
        <v>3</v>
      </c>
      <c r="AE193">
        <v>2</v>
      </c>
      <c r="AF193">
        <v>2.5190000000000001</v>
      </c>
      <c r="AG193">
        <v>3867.64</v>
      </c>
      <c r="AH193" t="s">
        <v>468</v>
      </c>
      <c r="AI193" t="s">
        <v>469</v>
      </c>
    </row>
    <row r="194" spans="1:35" x14ac:dyDescent="0.55000000000000004">
      <c r="A194">
        <v>537</v>
      </c>
      <c r="B194">
        <v>16.141999999999999</v>
      </c>
      <c r="C194">
        <v>752.56073000000004</v>
      </c>
      <c r="D194" t="s">
        <v>461</v>
      </c>
      <c r="E194" t="s">
        <v>32</v>
      </c>
      <c r="F194" t="s">
        <v>2</v>
      </c>
      <c r="G194">
        <v>0.15</v>
      </c>
      <c r="H194" t="b">
        <v>1</v>
      </c>
      <c r="I194">
        <v>10.811</v>
      </c>
      <c r="J194">
        <v>752.56</v>
      </c>
      <c r="K194" t="s">
        <v>462</v>
      </c>
      <c r="L194" t="s">
        <v>124</v>
      </c>
      <c r="N194" t="s">
        <v>463</v>
      </c>
      <c r="O194" t="s">
        <v>474</v>
      </c>
      <c r="P194">
        <v>410</v>
      </c>
      <c r="Q194" t="b">
        <v>0</v>
      </c>
      <c r="R194" t="b">
        <v>1</v>
      </c>
      <c r="S194" t="b">
        <v>1</v>
      </c>
      <c r="T194" t="s">
        <v>7</v>
      </c>
      <c r="U194" t="b">
        <v>0</v>
      </c>
      <c r="V194" t="b">
        <v>0</v>
      </c>
      <c r="W194">
        <v>537</v>
      </c>
      <c r="X194">
        <v>0</v>
      </c>
      <c r="Y194">
        <v>0</v>
      </c>
      <c r="Z194">
        <v>1</v>
      </c>
      <c r="AA194">
        <v>0.247</v>
      </c>
      <c r="AB194">
        <v>0.26500000000000001</v>
      </c>
      <c r="AC194">
        <v>0.95499999999999996</v>
      </c>
      <c r="AD194">
        <v>3</v>
      </c>
      <c r="AE194">
        <v>2</v>
      </c>
      <c r="AF194">
        <v>2.302</v>
      </c>
      <c r="AG194">
        <v>211.31</v>
      </c>
      <c r="AH194" t="s">
        <v>445</v>
      </c>
      <c r="AI194" t="s">
        <v>470</v>
      </c>
    </row>
    <row r="195" spans="1:35" x14ac:dyDescent="0.55000000000000004">
      <c r="A195">
        <v>540</v>
      </c>
      <c r="B195">
        <v>15.327</v>
      </c>
      <c r="C195">
        <v>754.57501000000002</v>
      </c>
      <c r="D195" t="s">
        <v>471</v>
      </c>
      <c r="E195" t="s">
        <v>32</v>
      </c>
      <c r="F195" t="s">
        <v>2</v>
      </c>
      <c r="G195">
        <v>0.38</v>
      </c>
      <c r="H195" t="b">
        <v>1</v>
      </c>
      <c r="I195">
        <v>12.071999999999999</v>
      </c>
      <c r="J195">
        <v>754.57561999999996</v>
      </c>
      <c r="K195" t="s">
        <v>472</v>
      </c>
      <c r="L195" t="s">
        <v>124</v>
      </c>
      <c r="N195" t="s">
        <v>473</v>
      </c>
      <c r="O195" t="s">
        <v>474</v>
      </c>
      <c r="P195">
        <v>410</v>
      </c>
      <c r="Q195" t="b">
        <v>0</v>
      </c>
      <c r="R195" t="b">
        <v>1</v>
      </c>
      <c r="S195" t="b">
        <v>1</v>
      </c>
      <c r="T195" t="s">
        <v>7</v>
      </c>
      <c r="U195" t="b">
        <v>0</v>
      </c>
      <c r="V195" t="b">
        <v>0</v>
      </c>
      <c r="W195">
        <v>540</v>
      </c>
      <c r="X195">
        <v>0</v>
      </c>
      <c r="Y195">
        <v>0</v>
      </c>
      <c r="Z195">
        <v>1</v>
      </c>
      <c r="AA195">
        <v>0.64400000000000002</v>
      </c>
      <c r="AB195">
        <v>0.64200000000000002</v>
      </c>
      <c r="AC195">
        <v>0.89100000000000001</v>
      </c>
      <c r="AD195">
        <v>3</v>
      </c>
      <c r="AE195">
        <v>2</v>
      </c>
      <c r="AF195">
        <v>2.4430000000000001</v>
      </c>
      <c r="AG195">
        <v>292.64999999999998</v>
      </c>
      <c r="AH195" t="s">
        <v>450</v>
      </c>
      <c r="AI195" t="s">
        <v>475</v>
      </c>
    </row>
    <row r="196" spans="1:35" x14ac:dyDescent="0.55000000000000004">
      <c r="A196">
        <v>541</v>
      </c>
      <c r="B196">
        <v>16.562999999999999</v>
      </c>
      <c r="C196">
        <v>754.57556</v>
      </c>
      <c r="D196" t="s">
        <v>471</v>
      </c>
      <c r="E196" t="s">
        <v>32</v>
      </c>
      <c r="F196" t="s">
        <v>2</v>
      </c>
      <c r="G196">
        <v>0.46</v>
      </c>
      <c r="H196" t="b">
        <v>1</v>
      </c>
      <c r="I196">
        <v>12.071999999999999</v>
      </c>
      <c r="J196">
        <v>754.57561999999996</v>
      </c>
      <c r="K196" t="s">
        <v>472</v>
      </c>
      <c r="L196" t="s">
        <v>124</v>
      </c>
      <c r="N196" t="s">
        <v>473</v>
      </c>
      <c r="O196" t="s">
        <v>481</v>
      </c>
      <c r="P196">
        <v>410</v>
      </c>
      <c r="Q196" t="b">
        <v>0</v>
      </c>
      <c r="R196" t="b">
        <v>1</v>
      </c>
      <c r="S196" t="b">
        <v>1</v>
      </c>
      <c r="T196" t="s">
        <v>7</v>
      </c>
      <c r="U196" t="b">
        <v>0</v>
      </c>
      <c r="V196" t="b">
        <v>0</v>
      </c>
      <c r="W196">
        <v>541</v>
      </c>
      <c r="X196">
        <v>0</v>
      </c>
      <c r="Y196">
        <v>0</v>
      </c>
      <c r="Z196">
        <v>1</v>
      </c>
      <c r="AA196">
        <v>0.70799999999999996</v>
      </c>
      <c r="AB196">
        <v>0.75600000000000001</v>
      </c>
      <c r="AC196">
        <v>0.91</v>
      </c>
      <c r="AD196">
        <v>3</v>
      </c>
      <c r="AE196">
        <v>2</v>
      </c>
      <c r="AF196">
        <v>2.4889999999999999</v>
      </c>
      <c r="AG196">
        <v>934.49</v>
      </c>
      <c r="AH196" t="s">
        <v>450</v>
      </c>
      <c r="AI196" t="s">
        <v>476</v>
      </c>
    </row>
    <row r="197" spans="1:35" x14ac:dyDescent="0.55000000000000004">
      <c r="A197">
        <v>542</v>
      </c>
      <c r="B197">
        <v>14.388999999999999</v>
      </c>
      <c r="C197">
        <v>754.57561999999996</v>
      </c>
      <c r="D197" t="s">
        <v>471</v>
      </c>
      <c r="E197" t="s">
        <v>32</v>
      </c>
      <c r="F197" t="s">
        <v>2</v>
      </c>
      <c r="G197">
        <v>0.38</v>
      </c>
      <c r="H197" t="b">
        <v>1</v>
      </c>
      <c r="I197">
        <v>12.071999999999999</v>
      </c>
      <c r="J197">
        <v>754.57561999999996</v>
      </c>
      <c r="K197" t="s">
        <v>472</v>
      </c>
      <c r="L197" t="s">
        <v>124</v>
      </c>
      <c r="N197" t="s">
        <v>473</v>
      </c>
      <c r="O197" t="s">
        <v>481</v>
      </c>
      <c r="P197">
        <v>410</v>
      </c>
      <c r="Q197" t="b">
        <v>0</v>
      </c>
      <c r="R197" t="b">
        <v>1</v>
      </c>
      <c r="S197" t="b">
        <v>1</v>
      </c>
      <c r="T197" t="s">
        <v>7</v>
      </c>
      <c r="U197" t="b">
        <v>0</v>
      </c>
      <c r="V197" t="b">
        <v>0</v>
      </c>
      <c r="W197">
        <v>542</v>
      </c>
      <c r="X197">
        <v>0</v>
      </c>
      <c r="Y197">
        <v>0</v>
      </c>
      <c r="Z197">
        <v>1</v>
      </c>
      <c r="AA197">
        <v>0.65100000000000002</v>
      </c>
      <c r="AB197">
        <v>0.66</v>
      </c>
      <c r="AC197">
        <v>0.88100000000000001</v>
      </c>
      <c r="AD197">
        <v>3</v>
      </c>
      <c r="AE197">
        <v>2</v>
      </c>
      <c r="AF197">
        <v>2.4430000000000001</v>
      </c>
      <c r="AG197">
        <v>274.11</v>
      </c>
      <c r="AH197" t="s">
        <v>450</v>
      </c>
      <c r="AI197" t="s">
        <v>477</v>
      </c>
    </row>
    <row r="198" spans="1:35" x14ac:dyDescent="0.55000000000000004">
      <c r="A198">
        <v>558</v>
      </c>
      <c r="B198">
        <v>14.237</v>
      </c>
      <c r="C198">
        <v>756.55487000000005</v>
      </c>
      <c r="D198" t="s">
        <v>478</v>
      </c>
      <c r="E198" t="s">
        <v>32</v>
      </c>
      <c r="F198" t="s">
        <v>2</v>
      </c>
      <c r="G198">
        <v>0.23</v>
      </c>
      <c r="H198" t="b">
        <v>1</v>
      </c>
      <c r="I198">
        <v>9.4280000000000008</v>
      </c>
      <c r="J198">
        <v>756.55487000000005</v>
      </c>
      <c r="K198" t="s">
        <v>479</v>
      </c>
      <c r="L198" t="s">
        <v>209</v>
      </c>
      <c r="N198" t="s">
        <v>480</v>
      </c>
      <c r="O198" t="s">
        <v>487</v>
      </c>
      <c r="P198">
        <v>410</v>
      </c>
      <c r="Q198" t="b">
        <v>0</v>
      </c>
      <c r="R198" t="b">
        <v>1</v>
      </c>
      <c r="S198" t="b">
        <v>1</v>
      </c>
      <c r="T198" t="s">
        <v>7</v>
      </c>
      <c r="U198" t="b">
        <v>0</v>
      </c>
      <c r="V198" t="b">
        <v>0</v>
      </c>
      <c r="W198">
        <v>558</v>
      </c>
      <c r="X198">
        <v>0</v>
      </c>
      <c r="Y198">
        <v>0</v>
      </c>
      <c r="Z198">
        <v>1</v>
      </c>
      <c r="AA198">
        <v>0.36499999999999999</v>
      </c>
      <c r="AB198">
        <v>0.40699999999999997</v>
      </c>
      <c r="AC198">
        <v>0.83</v>
      </c>
      <c r="AD198">
        <v>2</v>
      </c>
      <c r="AE198">
        <v>2</v>
      </c>
      <c r="AF198">
        <v>2.3069999999999999</v>
      </c>
      <c r="AG198">
        <v>1024.31</v>
      </c>
      <c r="AH198" t="s">
        <v>445</v>
      </c>
      <c r="AI198" t="s">
        <v>482</v>
      </c>
    </row>
    <row r="199" spans="1:35" x14ac:dyDescent="0.55000000000000004">
      <c r="A199">
        <v>559</v>
      </c>
      <c r="B199">
        <v>14.05</v>
      </c>
      <c r="C199">
        <v>756.55524000000003</v>
      </c>
      <c r="D199" t="s">
        <v>478</v>
      </c>
      <c r="E199" t="s">
        <v>32</v>
      </c>
      <c r="F199" t="s">
        <v>2</v>
      </c>
      <c r="G199">
        <v>0.38</v>
      </c>
      <c r="H199" t="b">
        <v>1</v>
      </c>
      <c r="I199">
        <v>9.4280000000000008</v>
      </c>
      <c r="J199">
        <v>756.55487000000005</v>
      </c>
      <c r="K199" t="s">
        <v>479</v>
      </c>
      <c r="L199" t="s">
        <v>209</v>
      </c>
      <c r="N199" t="s">
        <v>480</v>
      </c>
      <c r="O199" t="s">
        <v>491</v>
      </c>
      <c r="P199">
        <v>410</v>
      </c>
      <c r="Q199" t="b">
        <v>0</v>
      </c>
      <c r="R199" t="b">
        <v>1</v>
      </c>
      <c r="S199" t="b">
        <v>1</v>
      </c>
      <c r="T199" t="s">
        <v>7</v>
      </c>
      <c r="U199" t="b">
        <v>0</v>
      </c>
      <c r="V199" t="b">
        <v>0</v>
      </c>
      <c r="W199">
        <v>559</v>
      </c>
      <c r="X199">
        <v>0</v>
      </c>
      <c r="Y199">
        <v>0</v>
      </c>
      <c r="Z199">
        <v>1</v>
      </c>
      <c r="AA199">
        <v>0.76300000000000001</v>
      </c>
      <c r="AB199">
        <v>0.77900000000000003</v>
      </c>
      <c r="AC199">
        <v>0.92900000000000005</v>
      </c>
      <c r="AD199">
        <v>4</v>
      </c>
      <c r="AE199">
        <v>2</v>
      </c>
      <c r="AF199">
        <v>2.5129999999999999</v>
      </c>
      <c r="AG199">
        <v>541.34</v>
      </c>
      <c r="AH199" t="s">
        <v>450</v>
      </c>
      <c r="AI199" t="s">
        <v>483</v>
      </c>
    </row>
    <row r="200" spans="1:35" x14ac:dyDescent="0.55000000000000004">
      <c r="A200">
        <v>561</v>
      </c>
      <c r="B200">
        <v>15.321</v>
      </c>
      <c r="C200">
        <v>756.58875</v>
      </c>
      <c r="D200" t="s">
        <v>484</v>
      </c>
      <c r="E200" t="s">
        <v>32</v>
      </c>
      <c r="F200" t="s">
        <v>2</v>
      </c>
      <c r="G200">
        <v>0.31</v>
      </c>
      <c r="H200" t="b">
        <v>1</v>
      </c>
      <c r="I200">
        <v>12.919</v>
      </c>
      <c r="J200">
        <v>756.59131000000002</v>
      </c>
      <c r="K200" t="s">
        <v>485</v>
      </c>
      <c r="L200" t="s">
        <v>124</v>
      </c>
      <c r="N200" t="s">
        <v>486</v>
      </c>
      <c r="O200" t="s">
        <v>487</v>
      </c>
      <c r="P200">
        <v>410</v>
      </c>
      <c r="Q200" t="b">
        <v>0</v>
      </c>
      <c r="R200" t="b">
        <v>1</v>
      </c>
      <c r="S200" t="b">
        <v>1</v>
      </c>
      <c r="T200" t="s">
        <v>7</v>
      </c>
      <c r="U200" t="b">
        <v>0</v>
      </c>
      <c r="V200" t="b">
        <v>0</v>
      </c>
      <c r="W200">
        <v>561</v>
      </c>
      <c r="X200">
        <v>0</v>
      </c>
      <c r="Y200">
        <v>0</v>
      </c>
      <c r="Z200">
        <v>0.87</v>
      </c>
      <c r="AA200">
        <v>0.45700000000000002</v>
      </c>
      <c r="AB200">
        <v>0.5</v>
      </c>
      <c r="AC200">
        <v>0.90700000000000003</v>
      </c>
      <c r="AD200">
        <v>3</v>
      </c>
      <c r="AE200">
        <v>2</v>
      </c>
      <c r="AF200">
        <v>2.3130000000000002</v>
      </c>
      <c r="AG200">
        <v>143.22999999999999</v>
      </c>
      <c r="AH200" t="s">
        <v>468</v>
      </c>
      <c r="AI200" t="s">
        <v>488</v>
      </c>
    </row>
    <row r="201" spans="1:35" x14ac:dyDescent="0.55000000000000004">
      <c r="A201">
        <v>562</v>
      </c>
      <c r="B201">
        <v>15.506</v>
      </c>
      <c r="C201">
        <v>756.59094000000005</v>
      </c>
      <c r="D201" t="s">
        <v>489</v>
      </c>
      <c r="E201" t="s">
        <v>32</v>
      </c>
      <c r="F201" t="s">
        <v>2</v>
      </c>
      <c r="G201">
        <v>0.38</v>
      </c>
      <c r="H201" t="b">
        <v>1</v>
      </c>
      <c r="I201">
        <v>12.670999999999999</v>
      </c>
      <c r="J201">
        <v>756.59131000000002</v>
      </c>
      <c r="K201" t="s">
        <v>485</v>
      </c>
      <c r="L201" t="s">
        <v>124</v>
      </c>
      <c r="N201" t="s">
        <v>490</v>
      </c>
      <c r="O201" t="s">
        <v>497</v>
      </c>
      <c r="P201">
        <v>410</v>
      </c>
      <c r="Q201" t="b">
        <v>0</v>
      </c>
      <c r="R201" t="b">
        <v>1</v>
      </c>
      <c r="S201" t="b">
        <v>1</v>
      </c>
      <c r="T201" t="s">
        <v>7</v>
      </c>
      <c r="U201" t="b">
        <v>0</v>
      </c>
      <c r="V201" t="b">
        <v>0</v>
      </c>
      <c r="W201">
        <v>562</v>
      </c>
      <c r="X201">
        <v>0</v>
      </c>
      <c r="Y201">
        <v>0</v>
      </c>
      <c r="Z201">
        <v>1</v>
      </c>
      <c r="AA201">
        <v>0.625</v>
      </c>
      <c r="AB201">
        <v>0.65200000000000002</v>
      </c>
      <c r="AC201">
        <v>0.88800000000000001</v>
      </c>
      <c r="AD201">
        <v>3</v>
      </c>
      <c r="AE201">
        <v>2</v>
      </c>
      <c r="AF201">
        <v>2.44</v>
      </c>
      <c r="AG201">
        <v>423.47</v>
      </c>
      <c r="AH201" t="s">
        <v>450</v>
      </c>
      <c r="AI201" t="s">
        <v>492</v>
      </c>
    </row>
    <row r="202" spans="1:35" x14ac:dyDescent="0.55000000000000004">
      <c r="A202">
        <v>564</v>
      </c>
      <c r="B202">
        <v>17.241</v>
      </c>
      <c r="C202">
        <v>756.59209999999996</v>
      </c>
      <c r="D202" t="s">
        <v>484</v>
      </c>
      <c r="E202" t="s">
        <v>32</v>
      </c>
      <c r="F202" t="s">
        <v>2</v>
      </c>
      <c r="G202">
        <v>0.38</v>
      </c>
      <c r="H202" t="b">
        <v>1</v>
      </c>
      <c r="I202">
        <v>12.919</v>
      </c>
      <c r="J202">
        <v>756.59131000000002</v>
      </c>
      <c r="K202" t="s">
        <v>485</v>
      </c>
      <c r="L202" t="s">
        <v>124</v>
      </c>
      <c r="N202" t="s">
        <v>486</v>
      </c>
      <c r="O202" t="s">
        <v>502</v>
      </c>
      <c r="P202">
        <v>420</v>
      </c>
      <c r="Q202" t="b">
        <v>0</v>
      </c>
      <c r="R202" t="b">
        <v>1</v>
      </c>
      <c r="S202" t="b">
        <v>1</v>
      </c>
      <c r="T202" t="s">
        <v>7</v>
      </c>
      <c r="U202" t="b">
        <v>0</v>
      </c>
      <c r="V202" t="b">
        <v>0</v>
      </c>
      <c r="W202">
        <v>564</v>
      </c>
      <c r="X202">
        <v>0</v>
      </c>
      <c r="Y202">
        <v>0</v>
      </c>
      <c r="Z202">
        <v>1</v>
      </c>
      <c r="AA202">
        <v>0.69399999999999995</v>
      </c>
      <c r="AB202">
        <v>0.753</v>
      </c>
      <c r="AC202">
        <v>0.90800000000000003</v>
      </c>
      <c r="AD202">
        <v>3</v>
      </c>
      <c r="AE202">
        <v>2</v>
      </c>
      <c r="AF202">
        <v>2.4830000000000001</v>
      </c>
      <c r="AG202">
        <v>487.44</v>
      </c>
      <c r="AH202" t="s">
        <v>450</v>
      </c>
      <c r="AI202" t="s">
        <v>493</v>
      </c>
    </row>
    <row r="203" spans="1:35" x14ac:dyDescent="0.55000000000000004">
      <c r="A203">
        <v>579</v>
      </c>
      <c r="B203">
        <v>15.202999999999999</v>
      </c>
      <c r="C203">
        <v>758.57079999999996</v>
      </c>
      <c r="D203" t="s">
        <v>494</v>
      </c>
      <c r="E203" t="s">
        <v>32</v>
      </c>
      <c r="F203" t="s">
        <v>2</v>
      </c>
      <c r="G203">
        <v>0.38</v>
      </c>
      <c r="H203" t="b">
        <v>1</v>
      </c>
      <c r="I203">
        <v>10.46</v>
      </c>
      <c r="J203">
        <v>758.57050000000004</v>
      </c>
      <c r="K203" t="s">
        <v>495</v>
      </c>
      <c r="L203" t="s">
        <v>209</v>
      </c>
      <c r="N203" t="s">
        <v>496</v>
      </c>
      <c r="O203" t="s">
        <v>507</v>
      </c>
      <c r="P203">
        <v>410</v>
      </c>
      <c r="Q203" t="b">
        <v>0</v>
      </c>
      <c r="R203" t="b">
        <v>1</v>
      </c>
      <c r="S203" t="b">
        <v>1</v>
      </c>
      <c r="T203" t="s">
        <v>7</v>
      </c>
      <c r="U203" t="b">
        <v>0</v>
      </c>
      <c r="V203" t="b">
        <v>0</v>
      </c>
      <c r="W203">
        <v>579</v>
      </c>
      <c r="X203">
        <v>0</v>
      </c>
      <c r="Y203">
        <v>0</v>
      </c>
      <c r="Z203">
        <v>1</v>
      </c>
      <c r="AA203">
        <v>0.64800000000000002</v>
      </c>
      <c r="AB203">
        <v>0.67500000000000004</v>
      </c>
      <c r="AC203">
        <v>0.93</v>
      </c>
      <c r="AD203">
        <v>4</v>
      </c>
      <c r="AE203">
        <v>2</v>
      </c>
      <c r="AF203">
        <v>2.4660000000000002</v>
      </c>
      <c r="AG203">
        <v>573.45000000000005</v>
      </c>
      <c r="AH203" t="s">
        <v>450</v>
      </c>
      <c r="AI203" t="s">
        <v>498</v>
      </c>
    </row>
    <row r="204" spans="1:35" x14ac:dyDescent="0.55000000000000004">
      <c r="A204">
        <v>588</v>
      </c>
      <c r="B204">
        <v>12.683</v>
      </c>
      <c r="C204">
        <v>759.56635000000006</v>
      </c>
      <c r="D204" t="s">
        <v>499</v>
      </c>
      <c r="E204" t="s">
        <v>1</v>
      </c>
      <c r="F204" t="s">
        <v>2</v>
      </c>
      <c r="G204">
        <v>0.23</v>
      </c>
      <c r="H204" t="b">
        <v>1</v>
      </c>
      <c r="I204">
        <v>8.827</v>
      </c>
      <c r="J204">
        <v>759.56579999999997</v>
      </c>
      <c r="K204" t="s">
        <v>500</v>
      </c>
      <c r="L204" t="s">
        <v>181</v>
      </c>
      <c r="N204" t="s">
        <v>501</v>
      </c>
      <c r="O204" t="s">
        <v>512</v>
      </c>
      <c r="P204">
        <v>420</v>
      </c>
      <c r="Q204" t="b">
        <v>0</v>
      </c>
      <c r="R204" t="b">
        <v>1</v>
      </c>
      <c r="S204" t="b">
        <v>1</v>
      </c>
      <c r="T204" t="s">
        <v>7</v>
      </c>
      <c r="U204" t="b">
        <v>0</v>
      </c>
      <c r="V204" t="b">
        <v>0</v>
      </c>
      <c r="W204">
        <v>588</v>
      </c>
      <c r="X204">
        <v>0</v>
      </c>
      <c r="Y204">
        <v>0</v>
      </c>
      <c r="Z204">
        <v>1</v>
      </c>
      <c r="AA204">
        <v>0.69099999999999995</v>
      </c>
      <c r="AB204">
        <v>0.82199999999999995</v>
      </c>
      <c r="AC204">
        <v>0.91600000000000004</v>
      </c>
      <c r="AD204">
        <v>3</v>
      </c>
      <c r="AE204">
        <v>1</v>
      </c>
      <c r="AF204">
        <v>1.8580000000000001</v>
      </c>
      <c r="AG204">
        <v>683.39</v>
      </c>
      <c r="AH204" t="s">
        <v>450</v>
      </c>
      <c r="AI204" t="s">
        <v>503</v>
      </c>
    </row>
    <row r="205" spans="1:35" x14ac:dyDescent="0.55000000000000004">
      <c r="A205">
        <v>596</v>
      </c>
      <c r="B205">
        <v>14.013999999999999</v>
      </c>
      <c r="C205">
        <v>760.55127000000005</v>
      </c>
      <c r="D205" t="s">
        <v>504</v>
      </c>
      <c r="E205" t="s">
        <v>1</v>
      </c>
      <c r="F205" t="s">
        <v>2</v>
      </c>
      <c r="G205">
        <v>0.23</v>
      </c>
      <c r="H205" t="b">
        <v>1</v>
      </c>
      <c r="I205">
        <v>9.4339999999999993</v>
      </c>
      <c r="J205">
        <v>760.5498</v>
      </c>
      <c r="K205" t="s">
        <v>505</v>
      </c>
      <c r="L205" t="s">
        <v>329</v>
      </c>
      <c r="N205" t="s">
        <v>506</v>
      </c>
      <c r="O205" t="s">
        <v>517</v>
      </c>
      <c r="P205">
        <v>410</v>
      </c>
      <c r="Q205" t="b">
        <v>0</v>
      </c>
      <c r="R205" t="b">
        <v>1</v>
      </c>
      <c r="S205" t="b">
        <v>1</v>
      </c>
      <c r="T205" t="s">
        <v>7</v>
      </c>
      <c r="U205" t="b">
        <v>0</v>
      </c>
      <c r="V205" t="b">
        <v>0</v>
      </c>
      <c r="W205">
        <v>596</v>
      </c>
      <c r="X205">
        <v>0</v>
      </c>
      <c r="Y205">
        <v>0</v>
      </c>
      <c r="Z205">
        <v>0.99</v>
      </c>
      <c r="AA205">
        <v>0.46800000000000003</v>
      </c>
      <c r="AB205">
        <v>0.60099999999999998</v>
      </c>
      <c r="AC205">
        <v>0.82</v>
      </c>
      <c r="AD205">
        <v>3</v>
      </c>
      <c r="AE205">
        <v>2</v>
      </c>
      <c r="AF205">
        <v>2.363</v>
      </c>
      <c r="AG205">
        <v>475.6</v>
      </c>
      <c r="AH205" t="s">
        <v>450</v>
      </c>
      <c r="AI205" t="s">
        <v>508</v>
      </c>
    </row>
    <row r="206" spans="1:35" x14ac:dyDescent="0.55000000000000004">
      <c r="A206">
        <v>602</v>
      </c>
      <c r="B206">
        <v>11.186</v>
      </c>
      <c r="C206">
        <v>761.54584</v>
      </c>
      <c r="D206" t="s">
        <v>509</v>
      </c>
      <c r="E206" t="s">
        <v>1</v>
      </c>
      <c r="F206" t="s">
        <v>2</v>
      </c>
      <c r="G206">
        <v>0.23</v>
      </c>
      <c r="H206" t="b">
        <v>1</v>
      </c>
      <c r="I206">
        <v>8.0329999999999995</v>
      </c>
      <c r="J206">
        <v>761.54498000000001</v>
      </c>
      <c r="K206" t="s">
        <v>510</v>
      </c>
      <c r="L206" t="s">
        <v>181</v>
      </c>
      <c r="N206" t="s">
        <v>511</v>
      </c>
      <c r="O206" t="s">
        <v>521</v>
      </c>
      <c r="P206">
        <v>410</v>
      </c>
      <c r="Q206" t="b">
        <v>0</v>
      </c>
      <c r="R206" t="b">
        <v>1</v>
      </c>
      <c r="S206" t="b">
        <v>1</v>
      </c>
      <c r="T206" t="s">
        <v>7</v>
      </c>
      <c r="U206" t="b">
        <v>0</v>
      </c>
      <c r="V206" t="b">
        <v>0</v>
      </c>
      <c r="W206">
        <v>602</v>
      </c>
      <c r="X206">
        <v>0</v>
      </c>
      <c r="Y206">
        <v>0</v>
      </c>
      <c r="Z206">
        <v>1</v>
      </c>
      <c r="AA206">
        <v>0.58499999999999996</v>
      </c>
      <c r="AB206">
        <v>0.67700000000000005</v>
      </c>
      <c r="AC206">
        <v>0.89800000000000002</v>
      </c>
      <c r="AD206">
        <v>3</v>
      </c>
      <c r="AE206">
        <v>2</v>
      </c>
      <c r="AF206">
        <v>2.44</v>
      </c>
      <c r="AG206">
        <v>514.79</v>
      </c>
      <c r="AH206" t="s">
        <v>450</v>
      </c>
      <c r="AI206" t="s">
        <v>513</v>
      </c>
    </row>
    <row r="207" spans="1:35" x14ac:dyDescent="0.55000000000000004">
      <c r="A207">
        <v>604</v>
      </c>
      <c r="B207">
        <v>13.972</v>
      </c>
      <c r="C207">
        <v>761.58167000000003</v>
      </c>
      <c r="D207" t="s">
        <v>514</v>
      </c>
      <c r="E207" t="s">
        <v>1</v>
      </c>
      <c r="F207" t="s">
        <v>2</v>
      </c>
      <c r="G207">
        <v>0.23</v>
      </c>
      <c r="H207" t="b">
        <v>1</v>
      </c>
      <c r="I207">
        <v>9.3729999999999993</v>
      </c>
      <c r="J207">
        <v>761.58141999999998</v>
      </c>
      <c r="K207" t="s">
        <v>515</v>
      </c>
      <c r="L207" t="s">
        <v>181</v>
      </c>
      <c r="N207" t="s">
        <v>516</v>
      </c>
      <c r="O207" t="s">
        <v>526</v>
      </c>
      <c r="P207">
        <v>420</v>
      </c>
      <c r="Q207" t="b">
        <v>0</v>
      </c>
      <c r="R207" t="b">
        <v>1</v>
      </c>
      <c r="S207" t="b">
        <v>1</v>
      </c>
      <c r="T207" t="s">
        <v>7</v>
      </c>
      <c r="U207" t="b">
        <v>0</v>
      </c>
      <c r="V207" t="b">
        <v>0</v>
      </c>
      <c r="W207">
        <v>604</v>
      </c>
      <c r="X207">
        <v>0</v>
      </c>
      <c r="Y207">
        <v>0</v>
      </c>
      <c r="Z207">
        <v>1</v>
      </c>
      <c r="AA207">
        <v>0.90600000000000003</v>
      </c>
      <c r="AB207">
        <v>0.92800000000000005</v>
      </c>
      <c r="AC207">
        <v>0.94499999999999995</v>
      </c>
      <c r="AD207">
        <v>5</v>
      </c>
      <c r="AE207">
        <v>2</v>
      </c>
      <c r="AF207">
        <v>2.5830000000000002</v>
      </c>
      <c r="AG207">
        <v>11397.77</v>
      </c>
      <c r="AH207" t="s">
        <v>445</v>
      </c>
      <c r="AI207" t="s">
        <v>518</v>
      </c>
    </row>
    <row r="208" spans="1:35" x14ac:dyDescent="0.55000000000000004">
      <c r="A208">
        <v>606</v>
      </c>
      <c r="B208">
        <v>14.054</v>
      </c>
      <c r="C208">
        <v>761.58203000000003</v>
      </c>
      <c r="D208" t="s">
        <v>519</v>
      </c>
      <c r="E208" t="s">
        <v>1</v>
      </c>
      <c r="F208" t="s">
        <v>2</v>
      </c>
      <c r="G208">
        <v>0.23</v>
      </c>
      <c r="H208" t="b">
        <v>1</v>
      </c>
      <c r="I208">
        <v>9.3770000000000007</v>
      </c>
      <c r="J208">
        <v>761.58141999999998</v>
      </c>
      <c r="K208" t="s">
        <v>515</v>
      </c>
      <c r="L208" t="s">
        <v>181</v>
      </c>
      <c r="N208" t="s">
        <v>520</v>
      </c>
      <c r="O208" t="s">
        <v>531</v>
      </c>
      <c r="P208">
        <v>410</v>
      </c>
      <c r="Q208" t="b">
        <v>0</v>
      </c>
      <c r="R208" t="b">
        <v>1</v>
      </c>
      <c r="S208" t="b">
        <v>1</v>
      </c>
      <c r="T208" t="s">
        <v>7</v>
      </c>
      <c r="U208" t="b">
        <v>0</v>
      </c>
      <c r="V208" t="b">
        <v>0</v>
      </c>
      <c r="W208">
        <v>606</v>
      </c>
      <c r="X208">
        <v>0</v>
      </c>
      <c r="Y208">
        <v>0</v>
      </c>
      <c r="Z208">
        <v>1</v>
      </c>
      <c r="AA208">
        <v>0.88100000000000001</v>
      </c>
      <c r="AB208">
        <v>0.91800000000000004</v>
      </c>
      <c r="AC208">
        <v>0.94299999999999995</v>
      </c>
      <c r="AD208">
        <v>5</v>
      </c>
      <c r="AE208">
        <v>2</v>
      </c>
      <c r="AF208">
        <v>2.5739999999999998</v>
      </c>
      <c r="AG208">
        <v>7727.71</v>
      </c>
      <c r="AH208" t="s">
        <v>522</v>
      </c>
      <c r="AI208" t="s">
        <v>523</v>
      </c>
    </row>
    <row r="209" spans="1:35" x14ac:dyDescent="0.55000000000000004">
      <c r="A209">
        <v>607</v>
      </c>
      <c r="B209">
        <v>13.782999999999999</v>
      </c>
      <c r="C209">
        <v>761.58234000000004</v>
      </c>
      <c r="D209" t="s">
        <v>524</v>
      </c>
      <c r="E209" t="s">
        <v>1</v>
      </c>
      <c r="F209" t="s">
        <v>2</v>
      </c>
      <c r="G209">
        <v>0.23</v>
      </c>
      <c r="H209" t="b">
        <v>1</v>
      </c>
      <c r="I209">
        <v>9.35</v>
      </c>
      <c r="J209">
        <v>761.58141999999998</v>
      </c>
      <c r="K209" t="s">
        <v>515</v>
      </c>
      <c r="L209" t="s">
        <v>181</v>
      </c>
      <c r="N209" t="s">
        <v>525</v>
      </c>
      <c r="O209" t="s">
        <v>535</v>
      </c>
      <c r="P209">
        <v>410</v>
      </c>
      <c r="Q209" t="b">
        <v>0</v>
      </c>
      <c r="R209" t="b">
        <v>1</v>
      </c>
      <c r="S209" t="b">
        <v>1</v>
      </c>
      <c r="T209" t="s">
        <v>7</v>
      </c>
      <c r="U209" t="b">
        <v>0</v>
      </c>
      <c r="V209" t="b">
        <v>0</v>
      </c>
      <c r="W209">
        <v>607</v>
      </c>
      <c r="X209">
        <v>0</v>
      </c>
      <c r="Y209">
        <v>0</v>
      </c>
      <c r="Z209">
        <v>1</v>
      </c>
      <c r="AA209">
        <v>0.76500000000000001</v>
      </c>
      <c r="AB209">
        <v>0.84799999999999998</v>
      </c>
      <c r="AC209">
        <v>0.94899999999999995</v>
      </c>
      <c r="AD209">
        <v>4</v>
      </c>
      <c r="AE209">
        <v>1</v>
      </c>
      <c r="AF209">
        <v>1.895</v>
      </c>
      <c r="AG209">
        <v>1472.19</v>
      </c>
      <c r="AH209" t="s">
        <v>450</v>
      </c>
      <c r="AI209" t="s">
        <v>527</v>
      </c>
    </row>
    <row r="210" spans="1:35" x14ac:dyDescent="0.55000000000000004">
      <c r="A210">
        <v>613</v>
      </c>
      <c r="B210">
        <v>13.29</v>
      </c>
      <c r="C210">
        <v>762.50811999999996</v>
      </c>
      <c r="D210" t="s">
        <v>528</v>
      </c>
      <c r="E210" t="s">
        <v>32</v>
      </c>
      <c r="F210" t="s">
        <v>2</v>
      </c>
      <c r="G210">
        <v>0.23</v>
      </c>
      <c r="H210" t="b">
        <v>1</v>
      </c>
      <c r="I210">
        <v>9.14</v>
      </c>
      <c r="J210">
        <v>762.50787000000003</v>
      </c>
      <c r="K210" t="s">
        <v>529</v>
      </c>
      <c r="L210" t="s">
        <v>139</v>
      </c>
      <c r="N210" t="s">
        <v>530</v>
      </c>
      <c r="O210" t="s">
        <v>535</v>
      </c>
      <c r="P210">
        <v>410</v>
      </c>
      <c r="Q210" t="b">
        <v>0</v>
      </c>
      <c r="R210" t="b">
        <v>1</v>
      </c>
      <c r="S210" t="b">
        <v>1</v>
      </c>
      <c r="T210" t="s">
        <v>7</v>
      </c>
      <c r="U210" t="b">
        <v>0</v>
      </c>
      <c r="V210" t="b">
        <v>0</v>
      </c>
      <c r="W210">
        <v>613</v>
      </c>
      <c r="X210">
        <v>0</v>
      </c>
      <c r="Y210">
        <v>0</v>
      </c>
      <c r="Z210">
        <v>1</v>
      </c>
      <c r="AA210">
        <v>0.77300000000000002</v>
      </c>
      <c r="AB210">
        <v>0.81200000000000006</v>
      </c>
      <c r="AC210">
        <v>0.90600000000000003</v>
      </c>
      <c r="AD210">
        <v>7</v>
      </c>
      <c r="AE210">
        <v>2</v>
      </c>
      <c r="AF210">
        <v>2.5129999999999999</v>
      </c>
      <c r="AG210">
        <v>6819.54</v>
      </c>
      <c r="AH210" t="s">
        <v>450</v>
      </c>
      <c r="AI210" t="s">
        <v>532</v>
      </c>
    </row>
    <row r="211" spans="1:35" x14ac:dyDescent="0.55000000000000004">
      <c r="A211">
        <v>614</v>
      </c>
      <c r="B211">
        <v>12.476000000000001</v>
      </c>
      <c r="C211">
        <v>762.50811999999996</v>
      </c>
      <c r="D211" t="s">
        <v>533</v>
      </c>
      <c r="E211" t="s">
        <v>32</v>
      </c>
      <c r="F211" t="s">
        <v>2</v>
      </c>
      <c r="G211">
        <v>0.15</v>
      </c>
      <c r="H211" t="b">
        <v>1</v>
      </c>
      <c r="I211">
        <v>8.8520000000000003</v>
      </c>
      <c r="J211">
        <v>762.50787000000003</v>
      </c>
      <c r="K211" t="s">
        <v>529</v>
      </c>
      <c r="L211" t="s">
        <v>139</v>
      </c>
      <c r="N211" t="s">
        <v>534</v>
      </c>
      <c r="O211" t="s">
        <v>541</v>
      </c>
      <c r="P211">
        <v>410</v>
      </c>
      <c r="Q211" t="b">
        <v>0</v>
      </c>
      <c r="R211" t="b">
        <v>1</v>
      </c>
      <c r="S211" t="b">
        <v>1</v>
      </c>
      <c r="T211" t="s">
        <v>7</v>
      </c>
      <c r="U211" t="b">
        <v>0</v>
      </c>
      <c r="V211" t="b">
        <v>0</v>
      </c>
      <c r="W211">
        <v>614</v>
      </c>
      <c r="X211">
        <v>0</v>
      </c>
      <c r="Y211">
        <v>0</v>
      </c>
      <c r="Z211">
        <v>1</v>
      </c>
      <c r="AA211">
        <v>0.45600000000000002</v>
      </c>
      <c r="AB211">
        <v>0.48599999999999999</v>
      </c>
      <c r="AC211">
        <v>0.88700000000000001</v>
      </c>
      <c r="AD211">
        <v>5</v>
      </c>
      <c r="AE211">
        <v>2</v>
      </c>
      <c r="AF211">
        <v>2.367</v>
      </c>
      <c r="AG211">
        <v>557.20000000000005</v>
      </c>
      <c r="AH211" t="s">
        <v>445</v>
      </c>
      <c r="AI211" t="s">
        <v>536</v>
      </c>
    </row>
    <row r="212" spans="1:35" x14ac:dyDescent="0.55000000000000004">
      <c r="A212">
        <v>615</v>
      </c>
      <c r="B212">
        <v>12.585000000000001</v>
      </c>
      <c r="C212">
        <v>762.50818000000004</v>
      </c>
      <c r="D212" t="s">
        <v>533</v>
      </c>
      <c r="E212" t="s">
        <v>32</v>
      </c>
      <c r="F212" t="s">
        <v>2</v>
      </c>
      <c r="G212">
        <v>0.31</v>
      </c>
      <c r="H212" t="b">
        <v>1</v>
      </c>
      <c r="I212">
        <v>8.8520000000000003</v>
      </c>
      <c r="J212">
        <v>762.50787000000003</v>
      </c>
      <c r="K212" t="s">
        <v>529</v>
      </c>
      <c r="L212" t="s">
        <v>139</v>
      </c>
      <c r="N212" t="s">
        <v>534</v>
      </c>
      <c r="O212" t="s">
        <v>545</v>
      </c>
      <c r="P212">
        <v>410</v>
      </c>
      <c r="Q212" t="b">
        <v>0</v>
      </c>
      <c r="R212" t="b">
        <v>1</v>
      </c>
      <c r="S212" t="b">
        <v>1</v>
      </c>
      <c r="T212" t="s">
        <v>7</v>
      </c>
      <c r="U212" t="b">
        <v>0</v>
      </c>
      <c r="V212" t="b">
        <v>0</v>
      </c>
      <c r="W212">
        <v>615</v>
      </c>
      <c r="X212">
        <v>0</v>
      </c>
      <c r="Y212">
        <v>0</v>
      </c>
      <c r="Z212">
        <v>1</v>
      </c>
      <c r="AA212">
        <v>0.69099999999999995</v>
      </c>
      <c r="AB212">
        <v>0.73599999999999999</v>
      </c>
      <c r="AC212">
        <v>0.9</v>
      </c>
      <c r="AD212">
        <v>6</v>
      </c>
      <c r="AE212">
        <v>2</v>
      </c>
      <c r="AF212">
        <v>2.4769999999999999</v>
      </c>
      <c r="AG212">
        <v>603.96</v>
      </c>
      <c r="AH212" t="s">
        <v>450</v>
      </c>
      <c r="AI212" t="s">
        <v>537</v>
      </c>
    </row>
    <row r="213" spans="1:35" x14ac:dyDescent="0.55000000000000004">
      <c r="A213">
        <v>619</v>
      </c>
      <c r="B213">
        <v>14.199</v>
      </c>
      <c r="C213">
        <v>762.56506000000002</v>
      </c>
      <c r="D213" t="s">
        <v>538</v>
      </c>
      <c r="E213" t="s">
        <v>1</v>
      </c>
      <c r="F213" t="s">
        <v>2</v>
      </c>
      <c r="G213">
        <v>0.31</v>
      </c>
      <c r="H213" t="b">
        <v>1</v>
      </c>
      <c r="I213">
        <v>9.4930000000000003</v>
      </c>
      <c r="J213">
        <v>762.56542999999999</v>
      </c>
      <c r="K213" t="s">
        <v>539</v>
      </c>
      <c r="L213" t="s">
        <v>329</v>
      </c>
      <c r="N213" t="s">
        <v>540</v>
      </c>
      <c r="O213" t="s">
        <v>550</v>
      </c>
      <c r="P213">
        <v>420</v>
      </c>
      <c r="Q213" t="b">
        <v>0</v>
      </c>
      <c r="R213" t="b">
        <v>1</v>
      </c>
      <c r="S213" t="b">
        <v>1</v>
      </c>
      <c r="T213" t="s">
        <v>7</v>
      </c>
      <c r="U213" t="b">
        <v>0</v>
      </c>
      <c r="V213" t="b">
        <v>0</v>
      </c>
      <c r="W213">
        <v>619</v>
      </c>
      <c r="X213">
        <v>0</v>
      </c>
      <c r="Y213">
        <v>0</v>
      </c>
      <c r="Z213">
        <v>1</v>
      </c>
      <c r="AA213">
        <v>0.53700000000000003</v>
      </c>
      <c r="AB213">
        <v>0.70799999999999996</v>
      </c>
      <c r="AC213">
        <v>0.83699999999999997</v>
      </c>
      <c r="AD213">
        <v>3</v>
      </c>
      <c r="AE213">
        <v>2</v>
      </c>
      <c r="AF213">
        <v>2.411</v>
      </c>
      <c r="AG213">
        <v>605.39</v>
      </c>
      <c r="AH213" t="s">
        <v>450</v>
      </c>
      <c r="AI213" t="s">
        <v>542</v>
      </c>
    </row>
    <row r="214" spans="1:35" x14ac:dyDescent="0.55000000000000004">
      <c r="A214">
        <v>621</v>
      </c>
      <c r="B214">
        <v>15.183999999999999</v>
      </c>
      <c r="C214">
        <v>762.56586000000004</v>
      </c>
      <c r="D214" t="s">
        <v>543</v>
      </c>
      <c r="E214" t="s">
        <v>1</v>
      </c>
      <c r="F214" t="s">
        <v>2</v>
      </c>
      <c r="G214">
        <v>0.23</v>
      </c>
      <c r="H214" t="b">
        <v>1</v>
      </c>
      <c r="I214">
        <v>9.7149999999999999</v>
      </c>
      <c r="J214">
        <v>762.56542999999999</v>
      </c>
      <c r="K214" t="s">
        <v>539</v>
      </c>
      <c r="L214" t="s">
        <v>329</v>
      </c>
      <c r="N214" t="s">
        <v>544</v>
      </c>
      <c r="O214" t="s">
        <v>555</v>
      </c>
      <c r="P214">
        <v>420</v>
      </c>
      <c r="Q214" t="b">
        <v>0</v>
      </c>
      <c r="R214" t="b">
        <v>1</v>
      </c>
      <c r="S214" t="b">
        <v>1</v>
      </c>
      <c r="T214" t="s">
        <v>7</v>
      </c>
      <c r="U214" t="b">
        <v>0</v>
      </c>
      <c r="V214" t="b">
        <v>0</v>
      </c>
      <c r="W214">
        <v>621</v>
      </c>
      <c r="X214">
        <v>0</v>
      </c>
      <c r="Y214">
        <v>0</v>
      </c>
      <c r="Z214">
        <v>1</v>
      </c>
      <c r="AA214">
        <v>0.86899999999999999</v>
      </c>
      <c r="AB214">
        <v>0.94</v>
      </c>
      <c r="AC214">
        <v>0.91</v>
      </c>
      <c r="AD214">
        <v>6</v>
      </c>
      <c r="AE214">
        <v>2</v>
      </c>
      <c r="AF214">
        <v>2.5630000000000002</v>
      </c>
      <c r="AG214">
        <v>4450.59</v>
      </c>
      <c r="AH214" t="s">
        <v>450</v>
      </c>
      <c r="AI214" t="s">
        <v>546</v>
      </c>
    </row>
    <row r="215" spans="1:35" x14ac:dyDescent="0.55000000000000004">
      <c r="A215">
        <v>628</v>
      </c>
      <c r="B215">
        <v>12.861000000000001</v>
      </c>
      <c r="C215">
        <v>763.56104000000005</v>
      </c>
      <c r="D215" t="s">
        <v>547</v>
      </c>
      <c r="E215" t="s">
        <v>1</v>
      </c>
      <c r="F215" t="s">
        <v>2</v>
      </c>
      <c r="G215">
        <v>0.23</v>
      </c>
      <c r="H215" t="b">
        <v>1</v>
      </c>
      <c r="I215">
        <v>8.2469999999999999</v>
      </c>
      <c r="J215">
        <v>763.56073000000004</v>
      </c>
      <c r="K215" t="s">
        <v>548</v>
      </c>
      <c r="L215" t="s">
        <v>181</v>
      </c>
      <c r="N215" t="s">
        <v>549</v>
      </c>
      <c r="O215" t="s">
        <v>560</v>
      </c>
      <c r="P215">
        <v>410</v>
      </c>
      <c r="Q215" t="b">
        <v>0</v>
      </c>
      <c r="R215" t="b">
        <v>1</v>
      </c>
      <c r="S215" t="b">
        <v>1</v>
      </c>
      <c r="T215" t="s">
        <v>7</v>
      </c>
      <c r="U215" t="b">
        <v>0</v>
      </c>
      <c r="V215" t="b">
        <v>0</v>
      </c>
      <c r="W215">
        <v>628</v>
      </c>
      <c r="X215">
        <v>0</v>
      </c>
      <c r="Y215">
        <v>0</v>
      </c>
      <c r="Z215">
        <v>1</v>
      </c>
      <c r="AA215">
        <v>0.66100000000000003</v>
      </c>
      <c r="AB215">
        <v>0.748</v>
      </c>
      <c r="AC215">
        <v>0.88900000000000001</v>
      </c>
      <c r="AD215">
        <v>3</v>
      </c>
      <c r="AE215">
        <v>2</v>
      </c>
      <c r="AF215">
        <v>2.468</v>
      </c>
      <c r="AG215">
        <v>670.16</v>
      </c>
      <c r="AH215" t="s">
        <v>450</v>
      </c>
      <c r="AI215" t="s">
        <v>551</v>
      </c>
    </row>
    <row r="216" spans="1:35" x14ac:dyDescent="0.55000000000000004">
      <c r="A216">
        <v>632</v>
      </c>
      <c r="B216">
        <v>14.494</v>
      </c>
      <c r="C216">
        <v>763.59717000000001</v>
      </c>
      <c r="D216" t="s">
        <v>552</v>
      </c>
      <c r="E216" t="s">
        <v>1</v>
      </c>
      <c r="F216" t="s">
        <v>2</v>
      </c>
      <c r="G216">
        <v>0.38</v>
      </c>
      <c r="H216" t="b">
        <v>1</v>
      </c>
      <c r="I216">
        <v>9.2910000000000004</v>
      </c>
      <c r="J216">
        <v>763.59711000000004</v>
      </c>
      <c r="K216" t="s">
        <v>553</v>
      </c>
      <c r="L216" t="s">
        <v>181</v>
      </c>
      <c r="N216" t="s">
        <v>554</v>
      </c>
      <c r="O216" t="s">
        <v>564</v>
      </c>
      <c r="P216">
        <v>410</v>
      </c>
      <c r="Q216" t="b">
        <v>0</v>
      </c>
      <c r="R216" t="b">
        <v>1</v>
      </c>
      <c r="S216" t="b">
        <v>1</v>
      </c>
      <c r="T216" t="s">
        <v>7</v>
      </c>
      <c r="U216" t="b">
        <v>0</v>
      </c>
      <c r="V216" t="b">
        <v>0</v>
      </c>
      <c r="W216">
        <v>632</v>
      </c>
      <c r="X216">
        <v>0</v>
      </c>
      <c r="Y216">
        <v>0</v>
      </c>
      <c r="Z216">
        <v>1</v>
      </c>
      <c r="AA216">
        <v>0.44700000000000001</v>
      </c>
      <c r="AB216">
        <v>0.60499999999999998</v>
      </c>
      <c r="AC216">
        <v>0.91</v>
      </c>
      <c r="AD216">
        <v>3</v>
      </c>
      <c r="AE216">
        <v>1</v>
      </c>
      <c r="AF216">
        <v>1.7569999999999999</v>
      </c>
      <c r="AG216">
        <v>250.69</v>
      </c>
      <c r="AH216" t="s">
        <v>450</v>
      </c>
      <c r="AI216" t="s">
        <v>556</v>
      </c>
    </row>
    <row r="217" spans="1:35" x14ac:dyDescent="0.55000000000000004">
      <c r="A217">
        <v>636</v>
      </c>
      <c r="B217">
        <v>14.135</v>
      </c>
      <c r="C217">
        <v>764.52380000000005</v>
      </c>
      <c r="D217" t="s">
        <v>557</v>
      </c>
      <c r="E217" t="s">
        <v>32</v>
      </c>
      <c r="F217" t="s">
        <v>2</v>
      </c>
      <c r="G217">
        <v>0.38</v>
      </c>
      <c r="H217" t="b">
        <v>1</v>
      </c>
      <c r="I217">
        <v>9.0510000000000002</v>
      </c>
      <c r="J217">
        <v>764.52362000000005</v>
      </c>
      <c r="K217" t="s">
        <v>558</v>
      </c>
      <c r="L217" t="s">
        <v>209</v>
      </c>
      <c r="N217" t="s">
        <v>559</v>
      </c>
      <c r="O217" t="s">
        <v>568</v>
      </c>
      <c r="P217">
        <v>410</v>
      </c>
      <c r="Q217" t="b">
        <v>0</v>
      </c>
      <c r="R217" t="b">
        <v>1</v>
      </c>
      <c r="S217" t="b">
        <v>1</v>
      </c>
      <c r="T217" t="s">
        <v>7</v>
      </c>
      <c r="U217" t="b">
        <v>0</v>
      </c>
      <c r="V217" t="b">
        <v>0</v>
      </c>
      <c r="W217">
        <v>636</v>
      </c>
      <c r="X217">
        <v>0</v>
      </c>
      <c r="Y217">
        <v>0</v>
      </c>
      <c r="Z217">
        <v>1</v>
      </c>
      <c r="AA217">
        <v>0.47</v>
      </c>
      <c r="AB217">
        <v>0.45500000000000002</v>
      </c>
      <c r="AC217">
        <v>0.91500000000000004</v>
      </c>
      <c r="AD217">
        <v>4</v>
      </c>
      <c r="AE217">
        <v>2</v>
      </c>
      <c r="AF217">
        <v>2.375</v>
      </c>
      <c r="AG217">
        <v>1715.13</v>
      </c>
      <c r="AH217" t="s">
        <v>450</v>
      </c>
      <c r="AI217" t="s">
        <v>561</v>
      </c>
    </row>
    <row r="218" spans="1:35" x14ac:dyDescent="0.55000000000000004">
      <c r="A218">
        <v>639</v>
      </c>
      <c r="B218">
        <v>11.84</v>
      </c>
      <c r="C218">
        <v>764.52399000000003</v>
      </c>
      <c r="D218" t="s">
        <v>562</v>
      </c>
      <c r="E218" t="s">
        <v>32</v>
      </c>
      <c r="F218" t="s">
        <v>2</v>
      </c>
      <c r="G218">
        <v>0.15</v>
      </c>
      <c r="H218" t="b">
        <v>1</v>
      </c>
      <c r="I218">
        <v>8.8130000000000006</v>
      </c>
      <c r="J218">
        <v>764.52362000000005</v>
      </c>
      <c r="K218" t="s">
        <v>558</v>
      </c>
      <c r="L218" t="s">
        <v>209</v>
      </c>
      <c r="N218" t="s">
        <v>563</v>
      </c>
      <c r="O218" t="s">
        <v>560</v>
      </c>
      <c r="P218">
        <v>410</v>
      </c>
      <c r="Q218" t="b">
        <v>0</v>
      </c>
      <c r="R218" t="b">
        <v>1</v>
      </c>
      <c r="S218" t="b">
        <v>1</v>
      </c>
      <c r="T218" t="s">
        <v>7</v>
      </c>
      <c r="U218" t="b">
        <v>0</v>
      </c>
      <c r="V218" t="b">
        <v>0</v>
      </c>
      <c r="W218">
        <v>639</v>
      </c>
      <c r="X218">
        <v>0</v>
      </c>
      <c r="Y218">
        <v>0</v>
      </c>
      <c r="Z218">
        <v>1</v>
      </c>
      <c r="AA218">
        <v>0.43</v>
      </c>
      <c r="AB218">
        <v>0.46600000000000003</v>
      </c>
      <c r="AC218">
        <v>0.94099999999999995</v>
      </c>
      <c r="AD218">
        <v>3</v>
      </c>
      <c r="AE218">
        <v>2</v>
      </c>
      <c r="AF218">
        <v>2.3809999999999998</v>
      </c>
      <c r="AG218">
        <v>200.18</v>
      </c>
      <c r="AH218" t="s">
        <v>468</v>
      </c>
      <c r="AI218" t="s">
        <v>565</v>
      </c>
    </row>
    <row r="219" spans="1:35" x14ac:dyDescent="0.55000000000000004">
      <c r="A219">
        <v>640</v>
      </c>
      <c r="B219">
        <v>11.372999999999999</v>
      </c>
      <c r="C219">
        <v>764.52404999999999</v>
      </c>
      <c r="D219" t="s">
        <v>566</v>
      </c>
      <c r="E219" t="s">
        <v>32</v>
      </c>
      <c r="F219" t="s">
        <v>2</v>
      </c>
      <c r="G219">
        <v>0.23</v>
      </c>
      <c r="H219" t="b">
        <v>1</v>
      </c>
      <c r="I219">
        <v>8.7739999999999991</v>
      </c>
      <c r="J219">
        <v>764.52362000000005</v>
      </c>
      <c r="K219" t="s">
        <v>558</v>
      </c>
      <c r="L219" t="s">
        <v>209</v>
      </c>
      <c r="N219" t="s">
        <v>567</v>
      </c>
      <c r="O219" t="s">
        <v>573</v>
      </c>
      <c r="P219">
        <v>410</v>
      </c>
      <c r="Q219" t="b">
        <v>0</v>
      </c>
      <c r="R219" t="b">
        <v>1</v>
      </c>
      <c r="S219" t="b">
        <v>1</v>
      </c>
      <c r="T219" t="s">
        <v>7</v>
      </c>
      <c r="U219" t="b">
        <v>0</v>
      </c>
      <c r="V219" t="b">
        <v>0</v>
      </c>
      <c r="W219">
        <v>640</v>
      </c>
      <c r="X219">
        <v>0</v>
      </c>
      <c r="Y219">
        <v>0</v>
      </c>
      <c r="Z219">
        <v>1</v>
      </c>
      <c r="AA219">
        <v>0.504</v>
      </c>
      <c r="AB219">
        <v>0.56399999999999995</v>
      </c>
      <c r="AC219">
        <v>0.92100000000000004</v>
      </c>
      <c r="AD219">
        <v>3</v>
      </c>
      <c r="AE219">
        <v>2</v>
      </c>
      <c r="AF219">
        <v>2.4089999999999998</v>
      </c>
      <c r="AG219">
        <v>290.87</v>
      </c>
      <c r="AH219" t="s">
        <v>450</v>
      </c>
      <c r="AI219" t="s">
        <v>569</v>
      </c>
    </row>
    <row r="220" spans="1:35" x14ac:dyDescent="0.55000000000000004">
      <c r="A220">
        <v>641</v>
      </c>
      <c r="B220">
        <v>12.375999999999999</v>
      </c>
      <c r="C220">
        <v>764.52422999999999</v>
      </c>
      <c r="D220" t="s">
        <v>557</v>
      </c>
      <c r="E220" t="s">
        <v>32</v>
      </c>
      <c r="F220" t="s">
        <v>2</v>
      </c>
      <c r="G220">
        <v>0.31</v>
      </c>
      <c r="H220" t="b">
        <v>1</v>
      </c>
      <c r="I220">
        <v>9.0510000000000002</v>
      </c>
      <c r="J220">
        <v>764.52362000000005</v>
      </c>
      <c r="K220" t="s">
        <v>558</v>
      </c>
      <c r="L220" t="s">
        <v>209</v>
      </c>
      <c r="N220" t="s">
        <v>559</v>
      </c>
      <c r="O220" t="s">
        <v>578</v>
      </c>
      <c r="P220">
        <v>410</v>
      </c>
      <c r="Q220" t="b">
        <v>0</v>
      </c>
      <c r="R220" t="b">
        <v>1</v>
      </c>
      <c r="S220" t="b">
        <v>1</v>
      </c>
      <c r="T220" t="s">
        <v>7</v>
      </c>
      <c r="U220" t="b">
        <v>0</v>
      </c>
      <c r="V220" t="b">
        <v>0</v>
      </c>
      <c r="W220">
        <v>641</v>
      </c>
      <c r="X220">
        <v>0</v>
      </c>
      <c r="Y220">
        <v>0</v>
      </c>
      <c r="Z220">
        <v>1</v>
      </c>
      <c r="AA220">
        <v>0.76100000000000001</v>
      </c>
      <c r="AB220">
        <v>0.82</v>
      </c>
      <c r="AC220">
        <v>0.93600000000000005</v>
      </c>
      <c r="AD220">
        <v>5</v>
      </c>
      <c r="AE220">
        <v>2</v>
      </c>
      <c r="AF220">
        <v>2.5249999999999999</v>
      </c>
      <c r="AG220">
        <v>1074.8800000000001</v>
      </c>
      <c r="AH220" t="s">
        <v>522</v>
      </c>
      <c r="AI220" t="s">
        <v>570</v>
      </c>
    </row>
    <row r="221" spans="1:35" x14ac:dyDescent="0.55000000000000004">
      <c r="A221">
        <v>644</v>
      </c>
      <c r="B221">
        <v>13.694000000000001</v>
      </c>
      <c r="C221">
        <v>764.52435000000003</v>
      </c>
      <c r="D221" t="s">
        <v>571</v>
      </c>
      <c r="E221" t="s">
        <v>32</v>
      </c>
      <c r="F221" t="s">
        <v>2</v>
      </c>
      <c r="G221">
        <v>0.23</v>
      </c>
      <c r="H221" t="b">
        <v>1</v>
      </c>
      <c r="I221">
        <v>9.3439999999999994</v>
      </c>
      <c r="J221">
        <v>764.52362000000005</v>
      </c>
      <c r="K221" t="s">
        <v>558</v>
      </c>
      <c r="L221" t="s">
        <v>139</v>
      </c>
      <c r="N221" t="s">
        <v>572</v>
      </c>
      <c r="O221" t="s">
        <v>583</v>
      </c>
      <c r="P221">
        <v>410</v>
      </c>
      <c r="Q221" t="b">
        <v>0</v>
      </c>
      <c r="R221" t="b">
        <v>1</v>
      </c>
      <c r="S221" t="b">
        <v>1</v>
      </c>
      <c r="T221" t="s">
        <v>7</v>
      </c>
      <c r="U221" t="b">
        <v>0</v>
      </c>
      <c r="V221" t="b">
        <v>0</v>
      </c>
      <c r="W221">
        <v>644</v>
      </c>
      <c r="X221">
        <v>0</v>
      </c>
      <c r="Y221">
        <v>0</v>
      </c>
      <c r="Z221">
        <v>1</v>
      </c>
      <c r="AA221">
        <v>0.54500000000000004</v>
      </c>
      <c r="AB221">
        <v>0.57599999999999996</v>
      </c>
      <c r="AC221">
        <v>0.89500000000000002</v>
      </c>
      <c r="AD221">
        <v>5</v>
      </c>
      <c r="AE221">
        <v>2</v>
      </c>
      <c r="AF221">
        <v>2.4089999999999998</v>
      </c>
      <c r="AG221">
        <v>3811.26</v>
      </c>
      <c r="AH221" t="s">
        <v>468</v>
      </c>
      <c r="AI221" t="s">
        <v>574</v>
      </c>
    </row>
    <row r="222" spans="1:35" x14ac:dyDescent="0.55000000000000004">
      <c r="A222">
        <v>647</v>
      </c>
      <c r="B222">
        <v>15.895</v>
      </c>
      <c r="C222">
        <v>764.55980999999997</v>
      </c>
      <c r="D222" t="s">
        <v>575</v>
      </c>
      <c r="E222" t="s">
        <v>32</v>
      </c>
      <c r="F222" t="s">
        <v>2</v>
      </c>
      <c r="G222">
        <v>0.38</v>
      </c>
      <c r="H222" t="b">
        <v>1</v>
      </c>
      <c r="I222">
        <v>11.247999999999999</v>
      </c>
      <c r="J222">
        <v>764.56</v>
      </c>
      <c r="K222" t="s">
        <v>576</v>
      </c>
      <c r="L222" t="s">
        <v>124</v>
      </c>
      <c r="N222" t="s">
        <v>577</v>
      </c>
      <c r="O222" t="s">
        <v>583</v>
      </c>
      <c r="P222">
        <v>410</v>
      </c>
      <c r="Q222" t="b">
        <v>0</v>
      </c>
      <c r="R222" t="b">
        <v>1</v>
      </c>
      <c r="S222" t="b">
        <v>1</v>
      </c>
      <c r="T222" t="s">
        <v>7</v>
      </c>
      <c r="U222" t="b">
        <v>0</v>
      </c>
      <c r="V222" t="b">
        <v>0</v>
      </c>
      <c r="W222">
        <v>647</v>
      </c>
      <c r="X222">
        <v>0</v>
      </c>
      <c r="Y222">
        <v>0</v>
      </c>
      <c r="Z222">
        <v>1</v>
      </c>
      <c r="AA222">
        <v>0.52200000000000002</v>
      </c>
      <c r="AB222">
        <v>0.57099999999999995</v>
      </c>
      <c r="AC222">
        <v>0.92400000000000004</v>
      </c>
      <c r="AD222">
        <v>3</v>
      </c>
      <c r="AE222">
        <v>2</v>
      </c>
      <c r="AF222">
        <v>2.415</v>
      </c>
      <c r="AG222">
        <v>369.73</v>
      </c>
      <c r="AH222" t="s">
        <v>450</v>
      </c>
      <c r="AI222" t="s">
        <v>579</v>
      </c>
    </row>
    <row r="223" spans="1:35" x14ac:dyDescent="0.55000000000000004">
      <c r="A223">
        <v>648</v>
      </c>
      <c r="B223">
        <v>15.29</v>
      </c>
      <c r="C223">
        <v>764.58112000000006</v>
      </c>
      <c r="D223" t="s">
        <v>580</v>
      </c>
      <c r="E223" t="s">
        <v>1</v>
      </c>
      <c r="F223" t="s">
        <v>2</v>
      </c>
      <c r="G223">
        <v>0.23</v>
      </c>
      <c r="H223" t="b">
        <v>1</v>
      </c>
      <c r="I223">
        <v>10.144</v>
      </c>
      <c r="J223">
        <v>764.58112000000006</v>
      </c>
      <c r="K223" t="s">
        <v>581</v>
      </c>
      <c r="L223" t="s">
        <v>329</v>
      </c>
      <c r="N223" t="s">
        <v>582</v>
      </c>
      <c r="O223" t="s">
        <v>589</v>
      </c>
      <c r="P223">
        <v>420</v>
      </c>
      <c r="Q223" t="b">
        <v>0</v>
      </c>
      <c r="R223" t="b">
        <v>1</v>
      </c>
      <c r="S223" t="b">
        <v>1</v>
      </c>
      <c r="T223" t="s">
        <v>7</v>
      </c>
      <c r="U223" t="b">
        <v>0</v>
      </c>
      <c r="V223" t="b">
        <v>0</v>
      </c>
      <c r="W223">
        <v>648</v>
      </c>
      <c r="X223">
        <v>0</v>
      </c>
      <c r="Y223">
        <v>0</v>
      </c>
      <c r="Z223">
        <v>1</v>
      </c>
      <c r="AA223">
        <v>0.46</v>
      </c>
      <c r="AB223">
        <v>0.61799999999999999</v>
      </c>
      <c r="AC223">
        <v>0.83299999999999996</v>
      </c>
      <c r="AD223">
        <v>3</v>
      </c>
      <c r="AE223">
        <v>2</v>
      </c>
      <c r="AF223">
        <v>2.3740000000000001</v>
      </c>
      <c r="AG223">
        <v>6414.2</v>
      </c>
      <c r="AH223" t="s">
        <v>452</v>
      </c>
      <c r="AI223" t="s">
        <v>584</v>
      </c>
    </row>
    <row r="224" spans="1:35" x14ac:dyDescent="0.55000000000000004">
      <c r="A224">
        <v>649</v>
      </c>
      <c r="B224">
        <v>15.353999999999999</v>
      </c>
      <c r="C224">
        <v>764.58141999999998</v>
      </c>
      <c r="D224" t="s">
        <v>580</v>
      </c>
      <c r="E224" t="s">
        <v>1</v>
      </c>
      <c r="F224" t="s">
        <v>2</v>
      </c>
      <c r="G224">
        <v>0.23</v>
      </c>
      <c r="H224" t="b">
        <v>1</v>
      </c>
      <c r="I224">
        <v>10.144</v>
      </c>
      <c r="J224">
        <v>764.58112000000006</v>
      </c>
      <c r="K224" t="s">
        <v>581</v>
      </c>
      <c r="L224" t="s">
        <v>329</v>
      </c>
      <c r="N224" t="s">
        <v>582</v>
      </c>
      <c r="O224" t="s">
        <v>594</v>
      </c>
      <c r="P224">
        <v>410</v>
      </c>
      <c r="Q224" t="b">
        <v>0</v>
      </c>
      <c r="R224" t="b">
        <v>1</v>
      </c>
      <c r="S224" t="b">
        <v>1</v>
      </c>
      <c r="T224" t="s">
        <v>7</v>
      </c>
      <c r="U224" t="b">
        <v>0</v>
      </c>
      <c r="V224" t="b">
        <v>0</v>
      </c>
      <c r="W224">
        <v>649</v>
      </c>
      <c r="X224">
        <v>0</v>
      </c>
      <c r="Y224">
        <v>0</v>
      </c>
      <c r="Z224">
        <v>1</v>
      </c>
      <c r="AA224">
        <v>0.84299999999999997</v>
      </c>
      <c r="AB224">
        <v>0.88600000000000001</v>
      </c>
      <c r="AC224">
        <v>0.90700000000000003</v>
      </c>
      <c r="AD224">
        <v>5</v>
      </c>
      <c r="AE224">
        <v>2</v>
      </c>
      <c r="AF224">
        <v>2.5449999999999999</v>
      </c>
      <c r="AG224">
        <v>3844.06</v>
      </c>
      <c r="AH224" t="s">
        <v>450</v>
      </c>
      <c r="AI224" t="s">
        <v>585</v>
      </c>
    </row>
    <row r="225" spans="1:35" x14ac:dyDescent="0.55000000000000004">
      <c r="A225">
        <v>661</v>
      </c>
      <c r="B225">
        <v>12.510999999999999</v>
      </c>
      <c r="C225">
        <v>765.57665999999995</v>
      </c>
      <c r="D225" t="s">
        <v>586</v>
      </c>
      <c r="E225" t="s">
        <v>1</v>
      </c>
      <c r="F225" t="s">
        <v>2</v>
      </c>
      <c r="G225">
        <v>0.08</v>
      </c>
      <c r="H225" t="b">
        <v>1</v>
      </c>
      <c r="I225">
        <v>8.6039999999999992</v>
      </c>
      <c r="J225">
        <v>765.57628999999997</v>
      </c>
      <c r="K225" t="s">
        <v>587</v>
      </c>
      <c r="L225" t="s">
        <v>181</v>
      </c>
      <c r="N225" t="s">
        <v>588</v>
      </c>
      <c r="O225" t="s">
        <v>598</v>
      </c>
      <c r="P225">
        <v>410</v>
      </c>
      <c r="Q225" t="b">
        <v>0</v>
      </c>
      <c r="R225" t="b">
        <v>1</v>
      </c>
      <c r="S225" t="b">
        <v>1</v>
      </c>
      <c r="T225" t="s">
        <v>7</v>
      </c>
      <c r="U225" t="b">
        <v>0</v>
      </c>
      <c r="V225" t="b">
        <v>0</v>
      </c>
      <c r="W225">
        <v>661</v>
      </c>
      <c r="X225">
        <v>0</v>
      </c>
      <c r="Y225">
        <v>0</v>
      </c>
      <c r="Z225">
        <v>1</v>
      </c>
      <c r="AA225">
        <v>0.60599999999999998</v>
      </c>
      <c r="AB225">
        <v>0.68400000000000005</v>
      </c>
      <c r="AC225">
        <v>0.89800000000000002</v>
      </c>
      <c r="AD225">
        <v>3</v>
      </c>
      <c r="AE225">
        <v>2</v>
      </c>
      <c r="AF225">
        <v>2.4460000000000002</v>
      </c>
      <c r="AG225">
        <v>367.81</v>
      </c>
      <c r="AH225" t="s">
        <v>452</v>
      </c>
      <c r="AI225" t="s">
        <v>590</v>
      </c>
    </row>
    <row r="226" spans="1:35" x14ac:dyDescent="0.55000000000000004">
      <c r="A226">
        <v>669</v>
      </c>
      <c r="B226">
        <v>14.877000000000001</v>
      </c>
      <c r="C226">
        <v>766.53912000000003</v>
      </c>
      <c r="D226" t="s">
        <v>591</v>
      </c>
      <c r="E226" t="s">
        <v>32</v>
      </c>
      <c r="F226" t="s">
        <v>2</v>
      </c>
      <c r="G226">
        <v>0.15</v>
      </c>
      <c r="H226" t="b">
        <v>1</v>
      </c>
      <c r="I226">
        <v>10.324999999999999</v>
      </c>
      <c r="J226">
        <v>766.53917999999999</v>
      </c>
      <c r="K226" t="s">
        <v>592</v>
      </c>
      <c r="L226" t="s">
        <v>139</v>
      </c>
      <c r="N226" t="s">
        <v>593</v>
      </c>
      <c r="O226" t="s">
        <v>594</v>
      </c>
      <c r="P226">
        <v>410</v>
      </c>
      <c r="Q226" t="b">
        <v>0</v>
      </c>
      <c r="R226" t="b">
        <v>1</v>
      </c>
      <c r="S226" t="b">
        <v>1</v>
      </c>
      <c r="T226" t="s">
        <v>7</v>
      </c>
      <c r="U226" t="b">
        <v>0</v>
      </c>
      <c r="V226" t="b">
        <v>0</v>
      </c>
      <c r="W226">
        <v>669</v>
      </c>
      <c r="X226">
        <v>0</v>
      </c>
      <c r="Y226">
        <v>0</v>
      </c>
      <c r="Z226">
        <v>1</v>
      </c>
      <c r="AA226">
        <v>0.41399999999999998</v>
      </c>
      <c r="AB226">
        <v>0.502</v>
      </c>
      <c r="AC226">
        <v>0.88</v>
      </c>
      <c r="AD226">
        <v>4</v>
      </c>
      <c r="AE226">
        <v>2</v>
      </c>
      <c r="AF226">
        <v>2.3580000000000001</v>
      </c>
      <c r="AG226">
        <v>29782.61</v>
      </c>
      <c r="AH226" t="s">
        <v>468</v>
      </c>
      <c r="AI226" t="s">
        <v>595</v>
      </c>
    </row>
    <row r="227" spans="1:35" x14ac:dyDescent="0.55000000000000004">
      <c r="A227">
        <v>670</v>
      </c>
      <c r="B227">
        <v>14.28</v>
      </c>
      <c r="C227">
        <v>766.53917999999999</v>
      </c>
      <c r="D227" t="s">
        <v>596</v>
      </c>
      <c r="E227" t="s">
        <v>32</v>
      </c>
      <c r="F227" t="s">
        <v>2</v>
      </c>
      <c r="G227">
        <v>0.38</v>
      </c>
      <c r="H227" t="b">
        <v>1</v>
      </c>
      <c r="I227">
        <v>8.9740000000000002</v>
      </c>
      <c r="J227">
        <v>766.53917999999999</v>
      </c>
      <c r="K227" t="s">
        <v>592</v>
      </c>
      <c r="L227" t="s">
        <v>209</v>
      </c>
      <c r="N227" t="s">
        <v>597</v>
      </c>
      <c r="O227" t="s">
        <v>598</v>
      </c>
      <c r="P227">
        <v>410</v>
      </c>
      <c r="Q227" t="b">
        <v>0</v>
      </c>
      <c r="R227" t="b">
        <v>1</v>
      </c>
      <c r="S227" t="b">
        <v>1</v>
      </c>
      <c r="T227" t="s">
        <v>7</v>
      </c>
      <c r="U227" t="b">
        <v>0</v>
      </c>
      <c r="V227" t="b">
        <v>0</v>
      </c>
      <c r="W227">
        <v>670</v>
      </c>
      <c r="X227">
        <v>0</v>
      </c>
      <c r="Y227">
        <v>0</v>
      </c>
      <c r="Z227">
        <v>1</v>
      </c>
      <c r="AA227">
        <v>0.91200000000000003</v>
      </c>
      <c r="AB227">
        <v>0.86599999999999999</v>
      </c>
      <c r="AC227">
        <v>0.90600000000000003</v>
      </c>
      <c r="AD227">
        <v>4</v>
      </c>
      <c r="AE227">
        <v>2</v>
      </c>
      <c r="AF227">
        <v>2.5550000000000002</v>
      </c>
      <c r="AG227">
        <v>383.99</v>
      </c>
      <c r="AH227" t="s">
        <v>445</v>
      </c>
      <c r="AI227" t="s">
        <v>599</v>
      </c>
    </row>
    <row r="228" spans="1:35" x14ac:dyDescent="0.55000000000000004">
      <c r="A228">
        <v>671</v>
      </c>
      <c r="B228">
        <v>14.946</v>
      </c>
      <c r="C228">
        <v>766.53936999999996</v>
      </c>
      <c r="D228" t="s">
        <v>591</v>
      </c>
      <c r="E228" t="s">
        <v>32</v>
      </c>
      <c r="F228" t="s">
        <v>2</v>
      </c>
      <c r="G228">
        <v>0.31</v>
      </c>
      <c r="H228" t="b">
        <v>1</v>
      </c>
      <c r="I228">
        <v>10.324999999999999</v>
      </c>
      <c r="J228">
        <v>766.53917999999999</v>
      </c>
      <c r="K228" t="s">
        <v>592</v>
      </c>
      <c r="L228" t="s">
        <v>139</v>
      </c>
      <c r="N228" t="s">
        <v>593</v>
      </c>
      <c r="O228" t="s">
        <v>598</v>
      </c>
      <c r="P228">
        <v>410</v>
      </c>
      <c r="Q228" t="b">
        <v>0</v>
      </c>
      <c r="R228" t="b">
        <v>1</v>
      </c>
      <c r="S228" t="b">
        <v>1</v>
      </c>
      <c r="T228" t="s">
        <v>7</v>
      </c>
      <c r="U228" t="b">
        <v>0</v>
      </c>
      <c r="V228" t="b">
        <v>0</v>
      </c>
      <c r="W228">
        <v>671</v>
      </c>
      <c r="X228">
        <v>0</v>
      </c>
      <c r="Y228">
        <v>0</v>
      </c>
      <c r="Z228">
        <v>1</v>
      </c>
      <c r="AA228">
        <v>0.85299999999999998</v>
      </c>
      <c r="AB228">
        <v>0.85199999999999998</v>
      </c>
      <c r="AC228">
        <v>0.88800000000000001</v>
      </c>
      <c r="AD228">
        <v>8</v>
      </c>
      <c r="AE228">
        <v>2</v>
      </c>
      <c r="AF228">
        <v>2.532</v>
      </c>
      <c r="AG228">
        <v>23045.87</v>
      </c>
      <c r="AH228" t="s">
        <v>454</v>
      </c>
      <c r="AI228" t="s">
        <v>600</v>
      </c>
    </row>
    <row r="229" spans="1:35" x14ac:dyDescent="0.55000000000000004">
      <c r="A229">
        <v>673</v>
      </c>
      <c r="B229">
        <v>12.375999999999999</v>
      </c>
      <c r="C229">
        <v>766.53954999999996</v>
      </c>
      <c r="D229" t="s">
        <v>596</v>
      </c>
      <c r="E229" t="s">
        <v>32</v>
      </c>
      <c r="F229" t="s">
        <v>2</v>
      </c>
      <c r="G229">
        <v>0.15</v>
      </c>
      <c r="H229" t="b">
        <v>1</v>
      </c>
      <c r="I229">
        <v>8.9740000000000002</v>
      </c>
      <c r="J229">
        <v>766.53917999999999</v>
      </c>
      <c r="K229" t="s">
        <v>592</v>
      </c>
      <c r="L229" t="s">
        <v>209</v>
      </c>
      <c r="N229" t="s">
        <v>597</v>
      </c>
      <c r="O229" t="s">
        <v>605</v>
      </c>
      <c r="P229">
        <v>410</v>
      </c>
      <c r="Q229" t="b">
        <v>0</v>
      </c>
      <c r="R229" t="b">
        <v>1</v>
      </c>
      <c r="S229" t="b">
        <v>1</v>
      </c>
      <c r="T229" t="s">
        <v>7</v>
      </c>
      <c r="U229" t="b">
        <v>0</v>
      </c>
      <c r="V229" t="b">
        <v>0</v>
      </c>
      <c r="W229">
        <v>673</v>
      </c>
      <c r="X229">
        <v>0</v>
      </c>
      <c r="Y229">
        <v>0</v>
      </c>
      <c r="Z229">
        <v>1</v>
      </c>
      <c r="AA229">
        <v>0.91200000000000003</v>
      </c>
      <c r="AB229">
        <v>0.86599999999999999</v>
      </c>
      <c r="AC229">
        <v>0.90600000000000003</v>
      </c>
      <c r="AD229">
        <v>4</v>
      </c>
      <c r="AE229">
        <v>2</v>
      </c>
      <c r="AF229">
        <v>2.5550000000000002</v>
      </c>
      <c r="AG229">
        <v>4119.3500000000004</v>
      </c>
      <c r="AH229" t="s">
        <v>445</v>
      </c>
      <c r="AI229" t="s">
        <v>601</v>
      </c>
    </row>
    <row r="230" spans="1:35" x14ac:dyDescent="0.55000000000000004">
      <c r="A230">
        <v>676</v>
      </c>
      <c r="B230">
        <v>12.563000000000001</v>
      </c>
      <c r="C230">
        <v>766.53967</v>
      </c>
      <c r="D230" t="s">
        <v>596</v>
      </c>
      <c r="E230" t="s">
        <v>32</v>
      </c>
      <c r="F230" t="s">
        <v>2</v>
      </c>
      <c r="G230">
        <v>0.31</v>
      </c>
      <c r="H230" t="b">
        <v>1</v>
      </c>
      <c r="I230">
        <v>8.9740000000000002</v>
      </c>
      <c r="J230">
        <v>766.53917999999999</v>
      </c>
      <c r="K230" t="s">
        <v>592</v>
      </c>
      <c r="L230" t="s">
        <v>209</v>
      </c>
      <c r="N230" t="s">
        <v>597</v>
      </c>
      <c r="O230" t="s">
        <v>610</v>
      </c>
      <c r="P230">
        <v>410</v>
      </c>
      <c r="Q230" t="b">
        <v>0</v>
      </c>
      <c r="R230" t="b">
        <v>1</v>
      </c>
      <c r="S230" t="b">
        <v>1</v>
      </c>
      <c r="T230" t="s">
        <v>7</v>
      </c>
      <c r="U230" t="b">
        <v>0</v>
      </c>
      <c r="V230" t="b">
        <v>0</v>
      </c>
      <c r="W230">
        <v>676</v>
      </c>
      <c r="X230">
        <v>0</v>
      </c>
      <c r="Y230">
        <v>0</v>
      </c>
      <c r="Z230">
        <v>1</v>
      </c>
      <c r="AA230">
        <v>0.89</v>
      </c>
      <c r="AB230">
        <v>0.86299999999999999</v>
      </c>
      <c r="AC230">
        <v>0.91500000000000004</v>
      </c>
      <c r="AD230">
        <v>4</v>
      </c>
      <c r="AE230">
        <v>2</v>
      </c>
      <c r="AF230">
        <v>2.5529999999999999</v>
      </c>
      <c r="AG230">
        <v>1942.78</v>
      </c>
      <c r="AH230" t="s">
        <v>522</v>
      </c>
      <c r="AI230" t="s">
        <v>602</v>
      </c>
    </row>
    <row r="231" spans="1:35" x14ac:dyDescent="0.55000000000000004">
      <c r="A231">
        <v>677</v>
      </c>
      <c r="B231">
        <v>13.393000000000001</v>
      </c>
      <c r="C231">
        <v>766.53972999999996</v>
      </c>
      <c r="D231" t="s">
        <v>603</v>
      </c>
      <c r="E231" t="s">
        <v>32</v>
      </c>
      <c r="F231" t="s">
        <v>2</v>
      </c>
      <c r="G231">
        <v>0.31</v>
      </c>
      <c r="H231" t="b">
        <v>1</v>
      </c>
      <c r="I231">
        <v>8.8960000000000008</v>
      </c>
      <c r="J231">
        <v>766.53917999999999</v>
      </c>
      <c r="K231" t="s">
        <v>592</v>
      </c>
      <c r="L231" t="s">
        <v>209</v>
      </c>
      <c r="N231" t="s">
        <v>604</v>
      </c>
      <c r="O231" t="s">
        <v>610</v>
      </c>
      <c r="P231">
        <v>410</v>
      </c>
      <c r="Q231" t="b">
        <v>0</v>
      </c>
      <c r="R231" t="b">
        <v>1</v>
      </c>
      <c r="S231" t="b">
        <v>1</v>
      </c>
      <c r="T231" t="s">
        <v>7</v>
      </c>
      <c r="U231" t="b">
        <v>0</v>
      </c>
      <c r="V231" t="b">
        <v>0</v>
      </c>
      <c r="W231">
        <v>677</v>
      </c>
      <c r="X231">
        <v>0</v>
      </c>
      <c r="Y231">
        <v>0</v>
      </c>
      <c r="Z231">
        <v>1</v>
      </c>
      <c r="AA231">
        <v>0.90200000000000002</v>
      </c>
      <c r="AB231">
        <v>0.89900000000000002</v>
      </c>
      <c r="AC231">
        <v>0.93400000000000005</v>
      </c>
      <c r="AD231">
        <v>7</v>
      </c>
      <c r="AE231">
        <v>2</v>
      </c>
      <c r="AF231">
        <v>2.5710000000000002</v>
      </c>
      <c r="AG231">
        <v>13041.7</v>
      </c>
      <c r="AH231" t="s">
        <v>450</v>
      </c>
      <c r="AI231" t="s">
        <v>606</v>
      </c>
    </row>
    <row r="232" spans="1:35" x14ac:dyDescent="0.55000000000000004">
      <c r="A232">
        <v>686</v>
      </c>
      <c r="B232">
        <v>15.348000000000001</v>
      </c>
      <c r="C232">
        <v>768.55340999999999</v>
      </c>
      <c r="D232" t="s">
        <v>607</v>
      </c>
      <c r="E232" t="s">
        <v>32</v>
      </c>
      <c r="F232" t="s">
        <v>2</v>
      </c>
      <c r="G232">
        <v>0.23</v>
      </c>
      <c r="H232" t="b">
        <v>1</v>
      </c>
      <c r="I232">
        <v>10.548999999999999</v>
      </c>
      <c r="J232">
        <v>768.55487000000005</v>
      </c>
      <c r="K232" t="s">
        <v>608</v>
      </c>
      <c r="L232" t="s">
        <v>139</v>
      </c>
      <c r="N232" t="s">
        <v>609</v>
      </c>
      <c r="O232" t="s">
        <v>615</v>
      </c>
      <c r="P232">
        <v>410</v>
      </c>
      <c r="Q232" t="b">
        <v>0</v>
      </c>
      <c r="R232" t="b">
        <v>1</v>
      </c>
      <c r="S232" t="b">
        <v>1</v>
      </c>
      <c r="T232" t="s">
        <v>7</v>
      </c>
      <c r="U232" t="b">
        <v>0</v>
      </c>
      <c r="V232" t="b">
        <v>0</v>
      </c>
      <c r="W232">
        <v>686</v>
      </c>
      <c r="X232">
        <v>0</v>
      </c>
      <c r="Y232">
        <v>0</v>
      </c>
      <c r="Z232">
        <v>0.98</v>
      </c>
      <c r="AA232">
        <v>0.72</v>
      </c>
      <c r="AB232">
        <v>0.72499999999999998</v>
      </c>
      <c r="AC232">
        <v>0.89500000000000002</v>
      </c>
      <c r="AD232">
        <v>7</v>
      </c>
      <c r="AE232">
        <v>2</v>
      </c>
      <c r="AF232">
        <v>2.4700000000000002</v>
      </c>
      <c r="AG232">
        <v>5232.37</v>
      </c>
      <c r="AH232" t="s">
        <v>445</v>
      </c>
      <c r="AI232" t="s">
        <v>611</v>
      </c>
    </row>
    <row r="233" spans="1:35" x14ac:dyDescent="0.55000000000000004">
      <c r="A233">
        <v>687</v>
      </c>
      <c r="B233">
        <v>15.407</v>
      </c>
      <c r="C233">
        <v>768.55382999999995</v>
      </c>
      <c r="D233" t="s">
        <v>607</v>
      </c>
      <c r="E233" t="s">
        <v>32</v>
      </c>
      <c r="F233" t="s">
        <v>2</v>
      </c>
      <c r="G233">
        <v>0.23</v>
      </c>
      <c r="H233" t="b">
        <v>1</v>
      </c>
      <c r="I233">
        <v>10.548999999999999</v>
      </c>
      <c r="J233">
        <v>768.55487000000005</v>
      </c>
      <c r="K233" t="s">
        <v>608</v>
      </c>
      <c r="L233" t="s">
        <v>139</v>
      </c>
      <c r="N233" t="s">
        <v>609</v>
      </c>
      <c r="O233" t="s">
        <v>615</v>
      </c>
      <c r="P233">
        <v>410</v>
      </c>
      <c r="Q233" t="b">
        <v>0</v>
      </c>
      <c r="R233" t="b">
        <v>1</v>
      </c>
      <c r="S233" t="b">
        <v>1</v>
      </c>
      <c r="T233" t="s">
        <v>7</v>
      </c>
      <c r="U233" t="b">
        <v>0</v>
      </c>
      <c r="V233" t="b">
        <v>0</v>
      </c>
      <c r="W233">
        <v>687</v>
      </c>
      <c r="X233">
        <v>0</v>
      </c>
      <c r="Y233">
        <v>0</v>
      </c>
      <c r="Z233">
        <v>0.98</v>
      </c>
      <c r="AA233">
        <v>0.85099999999999998</v>
      </c>
      <c r="AB233">
        <v>0.85</v>
      </c>
      <c r="AC233">
        <v>0.878</v>
      </c>
      <c r="AD233">
        <v>8</v>
      </c>
      <c r="AE233">
        <v>2</v>
      </c>
      <c r="AF233">
        <v>2.5179999999999998</v>
      </c>
      <c r="AG233">
        <v>3535.78</v>
      </c>
      <c r="AH233" t="s">
        <v>450</v>
      </c>
      <c r="AI233" t="s">
        <v>612</v>
      </c>
    </row>
    <row r="234" spans="1:35" x14ac:dyDescent="0.55000000000000004">
      <c r="A234">
        <v>688</v>
      </c>
      <c r="B234">
        <v>13.624000000000001</v>
      </c>
      <c r="C234">
        <v>768.55444</v>
      </c>
      <c r="D234" t="s">
        <v>613</v>
      </c>
      <c r="E234" t="s">
        <v>32</v>
      </c>
      <c r="F234" t="s">
        <v>2</v>
      </c>
      <c r="G234">
        <v>0.15</v>
      </c>
      <c r="H234" t="b">
        <v>1</v>
      </c>
      <c r="I234">
        <v>9.577</v>
      </c>
      <c r="J234">
        <v>768.55487000000005</v>
      </c>
      <c r="K234" t="s">
        <v>608</v>
      </c>
      <c r="L234" t="s">
        <v>209</v>
      </c>
      <c r="N234" t="s">
        <v>614</v>
      </c>
      <c r="O234" t="s">
        <v>620</v>
      </c>
      <c r="P234">
        <v>410</v>
      </c>
      <c r="Q234" t="b">
        <v>0</v>
      </c>
      <c r="R234" t="b">
        <v>1</v>
      </c>
      <c r="S234" t="b">
        <v>1</v>
      </c>
      <c r="T234" t="s">
        <v>7</v>
      </c>
      <c r="U234" t="b">
        <v>0</v>
      </c>
      <c r="V234" t="b">
        <v>0</v>
      </c>
      <c r="W234">
        <v>688</v>
      </c>
      <c r="X234">
        <v>0</v>
      </c>
      <c r="Y234">
        <v>0</v>
      </c>
      <c r="Z234">
        <v>0.99</v>
      </c>
      <c r="AA234">
        <v>0.74399999999999999</v>
      </c>
      <c r="AB234">
        <v>0.79100000000000004</v>
      </c>
      <c r="AC234">
        <v>0.93500000000000005</v>
      </c>
      <c r="AD234">
        <v>4</v>
      </c>
      <c r="AE234">
        <v>2</v>
      </c>
      <c r="AF234">
        <v>2.512</v>
      </c>
      <c r="AG234">
        <v>5103.9399999999996</v>
      </c>
      <c r="AH234" t="s">
        <v>468</v>
      </c>
      <c r="AI234" t="s">
        <v>616</v>
      </c>
    </row>
    <row r="235" spans="1:35" x14ac:dyDescent="0.55000000000000004">
      <c r="A235">
        <v>689</v>
      </c>
      <c r="B235">
        <v>13.72</v>
      </c>
      <c r="C235">
        <v>768.55449999999996</v>
      </c>
      <c r="D235" t="s">
        <v>613</v>
      </c>
      <c r="E235" t="s">
        <v>32</v>
      </c>
      <c r="F235" t="s">
        <v>2</v>
      </c>
      <c r="G235">
        <v>0.31</v>
      </c>
      <c r="H235" t="b">
        <v>1</v>
      </c>
      <c r="I235">
        <v>9.577</v>
      </c>
      <c r="J235">
        <v>768.55487000000005</v>
      </c>
      <c r="K235" t="s">
        <v>608</v>
      </c>
      <c r="L235" t="s">
        <v>209</v>
      </c>
      <c r="N235" t="s">
        <v>614</v>
      </c>
      <c r="O235" t="s">
        <v>625</v>
      </c>
      <c r="P235">
        <v>410</v>
      </c>
      <c r="Q235" t="b">
        <v>0</v>
      </c>
      <c r="R235" t="b">
        <v>1</v>
      </c>
      <c r="S235" t="b">
        <v>1</v>
      </c>
      <c r="T235" t="s">
        <v>7</v>
      </c>
      <c r="U235" t="b">
        <v>0</v>
      </c>
      <c r="V235" t="b">
        <v>0</v>
      </c>
      <c r="W235">
        <v>689</v>
      </c>
      <c r="X235">
        <v>0</v>
      </c>
      <c r="Y235">
        <v>0</v>
      </c>
      <c r="Z235">
        <v>1</v>
      </c>
      <c r="AA235">
        <v>0.84799999999999998</v>
      </c>
      <c r="AB235">
        <v>0.88700000000000001</v>
      </c>
      <c r="AC235">
        <v>0.93899999999999995</v>
      </c>
      <c r="AD235">
        <v>6</v>
      </c>
      <c r="AE235">
        <v>2</v>
      </c>
      <c r="AF235">
        <v>2.56</v>
      </c>
      <c r="AG235">
        <v>4164.1000000000004</v>
      </c>
      <c r="AH235" t="s">
        <v>454</v>
      </c>
      <c r="AI235" t="s">
        <v>617</v>
      </c>
    </row>
    <row r="236" spans="1:35" x14ac:dyDescent="0.55000000000000004">
      <c r="A236">
        <v>691</v>
      </c>
      <c r="B236">
        <v>13.965</v>
      </c>
      <c r="C236">
        <v>768.55449999999996</v>
      </c>
      <c r="D236" t="s">
        <v>618</v>
      </c>
      <c r="E236" t="s">
        <v>32</v>
      </c>
      <c r="F236" t="s">
        <v>2</v>
      </c>
      <c r="G236">
        <v>0.31</v>
      </c>
      <c r="H236" t="b">
        <v>1</v>
      </c>
      <c r="I236">
        <v>9.5169999999999995</v>
      </c>
      <c r="J236">
        <v>768.55487000000005</v>
      </c>
      <c r="K236" t="s">
        <v>608</v>
      </c>
      <c r="L236" t="s">
        <v>209</v>
      </c>
      <c r="N236" t="s">
        <v>619</v>
      </c>
      <c r="O236" t="s">
        <v>630</v>
      </c>
      <c r="P236">
        <v>410</v>
      </c>
      <c r="Q236" t="b">
        <v>0</v>
      </c>
      <c r="R236" t="b">
        <v>1</v>
      </c>
      <c r="S236" t="b">
        <v>1</v>
      </c>
      <c r="T236" t="s">
        <v>7</v>
      </c>
      <c r="U236" t="b">
        <v>0</v>
      </c>
      <c r="V236" t="b">
        <v>0</v>
      </c>
      <c r="W236">
        <v>691</v>
      </c>
      <c r="X236">
        <v>0</v>
      </c>
      <c r="Y236">
        <v>0</v>
      </c>
      <c r="Z236">
        <v>1</v>
      </c>
      <c r="AA236">
        <v>0.71099999999999997</v>
      </c>
      <c r="AB236">
        <v>0.75800000000000001</v>
      </c>
      <c r="AC236">
        <v>0.93100000000000005</v>
      </c>
      <c r="AD236">
        <v>5</v>
      </c>
      <c r="AE236">
        <v>2</v>
      </c>
      <c r="AF236">
        <v>2.4990000000000001</v>
      </c>
      <c r="AG236">
        <v>10287.26</v>
      </c>
      <c r="AH236" t="s">
        <v>450</v>
      </c>
      <c r="AI236" t="s">
        <v>621</v>
      </c>
    </row>
    <row r="237" spans="1:35" x14ac:dyDescent="0.55000000000000004">
      <c r="A237">
        <v>701</v>
      </c>
      <c r="B237">
        <v>12.792999999999999</v>
      </c>
      <c r="C237">
        <v>770.51300000000003</v>
      </c>
      <c r="D237" t="s">
        <v>622</v>
      </c>
      <c r="E237" t="s">
        <v>32</v>
      </c>
      <c r="F237" t="s">
        <v>2</v>
      </c>
      <c r="G237">
        <v>0.23</v>
      </c>
      <c r="H237" t="b">
        <v>1</v>
      </c>
      <c r="I237">
        <v>9.2850000000000001</v>
      </c>
      <c r="J237">
        <v>770.51300000000003</v>
      </c>
      <c r="K237" t="s">
        <v>623</v>
      </c>
      <c r="L237" t="s">
        <v>124</v>
      </c>
      <c r="N237" t="s">
        <v>624</v>
      </c>
      <c r="O237" t="s">
        <v>630</v>
      </c>
      <c r="P237">
        <v>410</v>
      </c>
      <c r="Q237" t="b">
        <v>0</v>
      </c>
      <c r="R237" t="b">
        <v>1</v>
      </c>
      <c r="S237" t="b">
        <v>1</v>
      </c>
      <c r="T237" t="s">
        <v>7</v>
      </c>
      <c r="U237" t="b">
        <v>0</v>
      </c>
      <c r="V237" t="b">
        <v>0</v>
      </c>
      <c r="W237">
        <v>701</v>
      </c>
      <c r="X237">
        <v>0</v>
      </c>
      <c r="Y237">
        <v>0</v>
      </c>
      <c r="Z237">
        <v>1</v>
      </c>
      <c r="AA237">
        <v>0.34399999999999997</v>
      </c>
      <c r="AB237">
        <v>0.44</v>
      </c>
      <c r="AC237">
        <v>0.93400000000000005</v>
      </c>
      <c r="AD237">
        <v>3</v>
      </c>
      <c r="AE237">
        <v>2</v>
      </c>
      <c r="AF237">
        <v>2.3540000000000001</v>
      </c>
      <c r="AG237">
        <v>208.45</v>
      </c>
      <c r="AH237" t="s">
        <v>522</v>
      </c>
      <c r="AI237" t="s">
        <v>626</v>
      </c>
    </row>
    <row r="238" spans="1:35" x14ac:dyDescent="0.55000000000000004">
      <c r="A238">
        <v>703</v>
      </c>
      <c r="B238">
        <v>14.891999999999999</v>
      </c>
      <c r="C238">
        <v>770.57001000000002</v>
      </c>
      <c r="D238" t="s">
        <v>627</v>
      </c>
      <c r="E238" t="s">
        <v>32</v>
      </c>
      <c r="F238" t="s">
        <v>2</v>
      </c>
      <c r="G238">
        <v>0.23</v>
      </c>
      <c r="H238" t="b">
        <v>1</v>
      </c>
      <c r="I238">
        <v>9.8460000000000001</v>
      </c>
      <c r="J238">
        <v>770.57050000000004</v>
      </c>
      <c r="K238" t="s">
        <v>628</v>
      </c>
      <c r="L238" t="s">
        <v>209</v>
      </c>
      <c r="N238" t="s">
        <v>629</v>
      </c>
      <c r="O238" t="s">
        <v>636</v>
      </c>
      <c r="P238">
        <v>420</v>
      </c>
      <c r="Q238" t="b">
        <v>0</v>
      </c>
      <c r="R238" t="b">
        <v>1</v>
      </c>
      <c r="S238" t="b">
        <v>1</v>
      </c>
      <c r="T238" t="s">
        <v>7</v>
      </c>
      <c r="U238" t="b">
        <v>0</v>
      </c>
      <c r="V238" t="b">
        <v>0</v>
      </c>
      <c r="W238">
        <v>703</v>
      </c>
      <c r="X238">
        <v>0</v>
      </c>
      <c r="Y238">
        <v>0</v>
      </c>
      <c r="Z238">
        <v>1</v>
      </c>
      <c r="AA238">
        <v>0.84399999999999997</v>
      </c>
      <c r="AB238">
        <v>0.83499999999999996</v>
      </c>
      <c r="AC238">
        <v>0.91300000000000003</v>
      </c>
      <c r="AD238">
        <v>4</v>
      </c>
      <c r="AE238">
        <v>2</v>
      </c>
      <c r="AF238">
        <v>2.536</v>
      </c>
      <c r="AG238">
        <v>30632.54</v>
      </c>
      <c r="AH238" t="s">
        <v>450</v>
      </c>
      <c r="AI238" t="s">
        <v>631</v>
      </c>
    </row>
    <row r="239" spans="1:35" x14ac:dyDescent="0.55000000000000004">
      <c r="A239">
        <v>705</v>
      </c>
      <c r="B239">
        <v>16.035</v>
      </c>
      <c r="C239">
        <v>770.57092</v>
      </c>
      <c r="D239" t="s">
        <v>627</v>
      </c>
      <c r="E239" t="s">
        <v>32</v>
      </c>
      <c r="F239" t="s">
        <v>2</v>
      </c>
      <c r="G239">
        <v>0.23</v>
      </c>
      <c r="H239" t="b">
        <v>1</v>
      </c>
      <c r="I239">
        <v>9.8460000000000001</v>
      </c>
      <c r="J239">
        <v>770.57050000000004</v>
      </c>
      <c r="K239" t="s">
        <v>628</v>
      </c>
      <c r="L239" t="s">
        <v>209</v>
      </c>
      <c r="N239" t="s">
        <v>629</v>
      </c>
      <c r="O239" t="s">
        <v>641</v>
      </c>
      <c r="P239">
        <v>410</v>
      </c>
      <c r="Q239" t="b">
        <v>0</v>
      </c>
      <c r="R239" t="b">
        <v>1</v>
      </c>
      <c r="S239" t="b">
        <v>1</v>
      </c>
      <c r="T239" t="s">
        <v>7</v>
      </c>
      <c r="U239" t="b">
        <v>0</v>
      </c>
      <c r="V239" t="b">
        <v>0</v>
      </c>
      <c r="W239">
        <v>705</v>
      </c>
      <c r="X239">
        <v>0</v>
      </c>
      <c r="Y239">
        <v>0</v>
      </c>
      <c r="Z239">
        <v>1</v>
      </c>
      <c r="AA239">
        <v>0.39300000000000002</v>
      </c>
      <c r="AB239">
        <v>0.45500000000000002</v>
      </c>
      <c r="AC239">
        <v>0.90900000000000003</v>
      </c>
      <c r="AD239">
        <v>2</v>
      </c>
      <c r="AE239">
        <v>2</v>
      </c>
      <c r="AF239">
        <v>2.3559999999999999</v>
      </c>
      <c r="AG239">
        <v>201.64</v>
      </c>
      <c r="AH239" t="s">
        <v>522</v>
      </c>
      <c r="AI239" t="s">
        <v>632</v>
      </c>
    </row>
    <row r="240" spans="1:35" x14ac:dyDescent="0.55000000000000004">
      <c r="A240">
        <v>707</v>
      </c>
      <c r="B240">
        <v>12.304</v>
      </c>
      <c r="C240">
        <v>771.56488000000002</v>
      </c>
      <c r="D240" t="s">
        <v>633</v>
      </c>
      <c r="E240" t="s">
        <v>1</v>
      </c>
      <c r="F240" t="s">
        <v>2</v>
      </c>
      <c r="G240">
        <v>0.15</v>
      </c>
      <c r="H240" t="b">
        <v>1</v>
      </c>
      <c r="I240">
        <v>8.2040000000000006</v>
      </c>
      <c r="J240">
        <v>771.56579999999997</v>
      </c>
      <c r="K240" t="s">
        <v>634</v>
      </c>
      <c r="L240" t="s">
        <v>181</v>
      </c>
      <c r="N240" t="s">
        <v>635</v>
      </c>
      <c r="O240" t="s">
        <v>646</v>
      </c>
      <c r="P240">
        <v>410</v>
      </c>
      <c r="Q240" t="b">
        <v>0</v>
      </c>
      <c r="R240" t="b">
        <v>1</v>
      </c>
      <c r="S240" t="b">
        <v>1</v>
      </c>
      <c r="T240" t="s">
        <v>7</v>
      </c>
      <c r="U240" t="b">
        <v>0</v>
      </c>
      <c r="V240" t="b">
        <v>0</v>
      </c>
      <c r="W240">
        <v>707</v>
      </c>
      <c r="X240">
        <v>0</v>
      </c>
      <c r="Y240">
        <v>0</v>
      </c>
      <c r="Z240">
        <v>0.98</v>
      </c>
      <c r="AA240">
        <v>0.503</v>
      </c>
      <c r="AB240">
        <v>0.61099999999999999</v>
      </c>
      <c r="AC240">
        <v>0.95299999999999996</v>
      </c>
      <c r="AD240">
        <v>4</v>
      </c>
      <c r="AE240">
        <v>1</v>
      </c>
      <c r="AF240">
        <v>1.78</v>
      </c>
      <c r="AG240">
        <v>180.98</v>
      </c>
      <c r="AH240" t="s">
        <v>468</v>
      </c>
      <c r="AI240" t="s">
        <v>637</v>
      </c>
    </row>
    <row r="241" spans="1:35" x14ac:dyDescent="0.55000000000000004">
      <c r="A241">
        <v>721</v>
      </c>
      <c r="B241">
        <v>13.928000000000001</v>
      </c>
      <c r="C241">
        <v>772.52795000000003</v>
      </c>
      <c r="D241" t="s">
        <v>638</v>
      </c>
      <c r="E241" t="s">
        <v>32</v>
      </c>
      <c r="F241" t="s">
        <v>2</v>
      </c>
      <c r="G241">
        <v>0.23</v>
      </c>
      <c r="H241" t="b">
        <v>1</v>
      </c>
      <c r="I241">
        <v>9.8160000000000007</v>
      </c>
      <c r="J241">
        <v>772.52868999999998</v>
      </c>
      <c r="K241" t="s">
        <v>639</v>
      </c>
      <c r="L241" t="s">
        <v>124</v>
      </c>
      <c r="N241" t="s">
        <v>640</v>
      </c>
      <c r="O241" t="s">
        <v>652</v>
      </c>
      <c r="P241">
        <v>410</v>
      </c>
      <c r="Q241" t="b">
        <v>0</v>
      </c>
      <c r="R241" t="b">
        <v>1</v>
      </c>
      <c r="S241" t="b">
        <v>1</v>
      </c>
      <c r="T241" t="s">
        <v>7</v>
      </c>
      <c r="U241" t="b">
        <v>0</v>
      </c>
      <c r="V241" t="b">
        <v>0</v>
      </c>
      <c r="W241">
        <v>721</v>
      </c>
      <c r="X241">
        <v>0</v>
      </c>
      <c r="Y241">
        <v>0</v>
      </c>
      <c r="Z241">
        <v>0.99</v>
      </c>
      <c r="AA241">
        <v>0.67500000000000004</v>
      </c>
      <c r="AB241">
        <v>0.72699999999999998</v>
      </c>
      <c r="AC241">
        <v>0.92800000000000005</v>
      </c>
      <c r="AD241">
        <v>3</v>
      </c>
      <c r="AE241">
        <v>2</v>
      </c>
      <c r="AF241">
        <v>2.48</v>
      </c>
      <c r="AG241">
        <v>3814.25</v>
      </c>
      <c r="AH241" t="s">
        <v>450</v>
      </c>
      <c r="AI241" t="s">
        <v>642</v>
      </c>
    </row>
    <row r="242" spans="1:35" x14ac:dyDescent="0.55000000000000004">
      <c r="A242">
        <v>722</v>
      </c>
      <c r="B242">
        <v>15.75</v>
      </c>
      <c r="C242">
        <v>772.58623999999998</v>
      </c>
      <c r="D242" t="s">
        <v>643</v>
      </c>
      <c r="E242" t="s">
        <v>32</v>
      </c>
      <c r="F242" t="s">
        <v>2</v>
      </c>
      <c r="G242">
        <v>0.23</v>
      </c>
      <c r="H242" t="b">
        <v>1</v>
      </c>
      <c r="I242">
        <v>11.898999999999999</v>
      </c>
      <c r="J242">
        <v>772.58618000000001</v>
      </c>
      <c r="K242" t="s">
        <v>644</v>
      </c>
      <c r="L242" t="s">
        <v>209</v>
      </c>
      <c r="N242" t="s">
        <v>645</v>
      </c>
      <c r="O242" t="s">
        <v>657</v>
      </c>
      <c r="P242">
        <v>410</v>
      </c>
      <c r="Q242" t="b">
        <v>0</v>
      </c>
      <c r="R242" t="b">
        <v>1</v>
      </c>
      <c r="S242" t="b">
        <v>1</v>
      </c>
      <c r="T242" t="s">
        <v>7</v>
      </c>
      <c r="U242" t="b">
        <v>0</v>
      </c>
      <c r="V242" t="b">
        <v>0</v>
      </c>
      <c r="W242">
        <v>722</v>
      </c>
      <c r="X242">
        <v>0</v>
      </c>
      <c r="Y242">
        <v>0</v>
      </c>
      <c r="Z242">
        <v>1</v>
      </c>
      <c r="AA242">
        <v>0.89200000000000002</v>
      </c>
      <c r="AB242">
        <v>0.88900000000000001</v>
      </c>
      <c r="AC242">
        <v>0.92900000000000005</v>
      </c>
      <c r="AD242">
        <v>7</v>
      </c>
      <c r="AE242">
        <v>2</v>
      </c>
      <c r="AF242">
        <v>2.5649999999999999</v>
      </c>
      <c r="AG242">
        <v>6338.63</v>
      </c>
      <c r="AH242" t="s">
        <v>450</v>
      </c>
      <c r="AI242" t="s">
        <v>647</v>
      </c>
    </row>
    <row r="243" spans="1:35" x14ac:dyDescent="0.55000000000000004">
      <c r="A243">
        <v>724</v>
      </c>
      <c r="B243">
        <v>14.986000000000001</v>
      </c>
      <c r="C243">
        <v>772.59691999999995</v>
      </c>
      <c r="D243" t="s">
        <v>648</v>
      </c>
      <c r="E243" t="s">
        <v>1</v>
      </c>
      <c r="F243" t="s">
        <v>2</v>
      </c>
      <c r="G243">
        <v>0.31</v>
      </c>
      <c r="H243" t="b">
        <v>1</v>
      </c>
      <c r="I243">
        <v>9.76</v>
      </c>
      <c r="J243">
        <v>772.59442000000001</v>
      </c>
      <c r="K243" t="s">
        <v>649</v>
      </c>
      <c r="L243" t="s">
        <v>650</v>
      </c>
      <c r="N243" t="s">
        <v>651</v>
      </c>
      <c r="O243" t="s">
        <v>662</v>
      </c>
      <c r="P243">
        <v>410</v>
      </c>
      <c r="Q243" t="b">
        <v>0</v>
      </c>
      <c r="R243" t="b">
        <v>1</v>
      </c>
      <c r="S243" t="b">
        <v>1</v>
      </c>
      <c r="T243" t="s">
        <v>7</v>
      </c>
      <c r="U243" t="b">
        <v>0</v>
      </c>
      <c r="V243" t="b">
        <v>0</v>
      </c>
      <c r="W243">
        <v>724</v>
      </c>
      <c r="X243">
        <v>0</v>
      </c>
      <c r="Y243">
        <v>0</v>
      </c>
      <c r="Z243">
        <v>0.93</v>
      </c>
      <c r="AA243">
        <v>0.34699999999999998</v>
      </c>
      <c r="AB243">
        <v>0.52500000000000002</v>
      </c>
      <c r="AC243">
        <v>0.94299999999999995</v>
      </c>
      <c r="AD243">
        <v>5</v>
      </c>
      <c r="AE243">
        <v>2</v>
      </c>
      <c r="AF243">
        <v>2.3410000000000002</v>
      </c>
      <c r="AG243">
        <v>561.80999999999995</v>
      </c>
      <c r="AH243" t="s">
        <v>522</v>
      </c>
      <c r="AI243" t="s">
        <v>653</v>
      </c>
    </row>
    <row r="244" spans="1:35" x14ac:dyDescent="0.55000000000000004">
      <c r="A244">
        <v>734</v>
      </c>
      <c r="B244">
        <v>13.464</v>
      </c>
      <c r="C244">
        <v>773.58148000000006</v>
      </c>
      <c r="D244" t="s">
        <v>654</v>
      </c>
      <c r="E244" t="s">
        <v>1</v>
      </c>
      <c r="F244" t="s">
        <v>2</v>
      </c>
      <c r="G244">
        <v>0.23</v>
      </c>
      <c r="H244" t="b">
        <v>1</v>
      </c>
      <c r="I244">
        <v>9.1419999999999995</v>
      </c>
      <c r="J244">
        <v>773.58141999999998</v>
      </c>
      <c r="K244" t="s">
        <v>655</v>
      </c>
      <c r="L244" t="s">
        <v>181</v>
      </c>
      <c r="N244" t="s">
        <v>656</v>
      </c>
      <c r="O244" t="s">
        <v>667</v>
      </c>
      <c r="P244">
        <v>410</v>
      </c>
      <c r="Q244" t="b">
        <v>0</v>
      </c>
      <c r="R244" t="b">
        <v>1</v>
      </c>
      <c r="S244" t="b">
        <v>1</v>
      </c>
      <c r="T244" t="s">
        <v>7</v>
      </c>
      <c r="U244" t="b">
        <v>0</v>
      </c>
      <c r="V244" t="b">
        <v>0</v>
      </c>
      <c r="W244">
        <v>734</v>
      </c>
      <c r="X244">
        <v>0</v>
      </c>
      <c r="Y244">
        <v>0</v>
      </c>
      <c r="Z244">
        <v>1</v>
      </c>
      <c r="AA244">
        <v>0.89100000000000001</v>
      </c>
      <c r="AB244">
        <v>0.94199999999999995</v>
      </c>
      <c r="AC244">
        <v>0.93400000000000005</v>
      </c>
      <c r="AD244">
        <v>5</v>
      </c>
      <c r="AE244">
        <v>2</v>
      </c>
      <c r="AF244">
        <v>2.5790000000000002</v>
      </c>
      <c r="AG244">
        <v>19766.11</v>
      </c>
      <c r="AH244" t="s">
        <v>450</v>
      </c>
      <c r="AI244" t="s">
        <v>658</v>
      </c>
    </row>
    <row r="245" spans="1:35" x14ac:dyDescent="0.55000000000000004">
      <c r="A245">
        <v>736</v>
      </c>
      <c r="B245">
        <v>12.169</v>
      </c>
      <c r="C245">
        <v>774.52930000000003</v>
      </c>
      <c r="D245" t="s">
        <v>659</v>
      </c>
      <c r="E245" t="s">
        <v>1</v>
      </c>
      <c r="F245" t="s">
        <v>2</v>
      </c>
      <c r="G245">
        <v>0.23</v>
      </c>
      <c r="H245" t="b">
        <v>1</v>
      </c>
      <c r="I245">
        <v>8.5839999999999996</v>
      </c>
      <c r="J245">
        <v>774.52910999999995</v>
      </c>
      <c r="K245" t="s">
        <v>280</v>
      </c>
      <c r="L245" t="s">
        <v>660</v>
      </c>
      <c r="N245" t="s">
        <v>661</v>
      </c>
      <c r="O245" t="s">
        <v>667</v>
      </c>
      <c r="P245">
        <v>410</v>
      </c>
      <c r="Q245" t="b">
        <v>0</v>
      </c>
      <c r="R245" t="b">
        <v>1</v>
      </c>
      <c r="S245" t="b">
        <v>1</v>
      </c>
      <c r="T245" t="s">
        <v>7</v>
      </c>
      <c r="U245" t="b">
        <v>0</v>
      </c>
      <c r="V245" t="b">
        <v>0</v>
      </c>
      <c r="W245">
        <v>736</v>
      </c>
      <c r="X245">
        <v>0</v>
      </c>
      <c r="Y245">
        <v>0</v>
      </c>
      <c r="Z245">
        <v>1</v>
      </c>
      <c r="AA245">
        <v>0.77500000000000002</v>
      </c>
      <c r="AB245">
        <v>0.85699999999999998</v>
      </c>
      <c r="AC245">
        <v>0.88500000000000001</v>
      </c>
      <c r="AD245">
        <v>9</v>
      </c>
      <c r="AE245">
        <v>2</v>
      </c>
      <c r="AF245">
        <v>2.5150000000000001</v>
      </c>
      <c r="AG245">
        <v>5453.38</v>
      </c>
      <c r="AH245" t="s">
        <v>450</v>
      </c>
      <c r="AI245" t="s">
        <v>663</v>
      </c>
    </row>
    <row r="246" spans="1:35" x14ac:dyDescent="0.55000000000000004">
      <c r="A246">
        <v>738</v>
      </c>
      <c r="B246">
        <v>14.016999999999999</v>
      </c>
      <c r="C246">
        <v>774.54314999999997</v>
      </c>
      <c r="D246" t="s">
        <v>664</v>
      </c>
      <c r="E246" t="s">
        <v>32</v>
      </c>
      <c r="F246" t="s">
        <v>2</v>
      </c>
      <c r="G246">
        <v>0.15</v>
      </c>
      <c r="H246" t="b">
        <v>1</v>
      </c>
      <c r="I246">
        <v>10.699</v>
      </c>
      <c r="J246">
        <v>774.54431</v>
      </c>
      <c r="K246" t="s">
        <v>665</v>
      </c>
      <c r="L246" t="s">
        <v>124</v>
      </c>
      <c r="N246" t="s">
        <v>666</v>
      </c>
      <c r="O246" t="s">
        <v>672</v>
      </c>
      <c r="P246">
        <v>410</v>
      </c>
      <c r="Q246" t="b">
        <v>0</v>
      </c>
      <c r="R246" t="b">
        <v>1</v>
      </c>
      <c r="S246" t="b">
        <v>1</v>
      </c>
      <c r="T246" t="s">
        <v>7</v>
      </c>
      <c r="U246" t="b">
        <v>0</v>
      </c>
      <c r="V246" t="b">
        <v>0</v>
      </c>
      <c r="W246">
        <v>738</v>
      </c>
      <c r="X246">
        <v>0</v>
      </c>
      <c r="Y246">
        <v>0</v>
      </c>
      <c r="Z246">
        <v>0.99</v>
      </c>
      <c r="AA246">
        <v>0.44600000000000001</v>
      </c>
      <c r="AB246">
        <v>0.53800000000000003</v>
      </c>
      <c r="AC246">
        <v>0.94899999999999995</v>
      </c>
      <c r="AD246">
        <v>3</v>
      </c>
      <c r="AE246">
        <v>2</v>
      </c>
      <c r="AF246">
        <v>2.3980000000000001</v>
      </c>
      <c r="AG246">
        <v>665.07</v>
      </c>
      <c r="AH246" t="s">
        <v>445</v>
      </c>
      <c r="AI246" t="s">
        <v>668</v>
      </c>
    </row>
    <row r="247" spans="1:35" x14ac:dyDescent="0.55000000000000004">
      <c r="A247">
        <v>739</v>
      </c>
      <c r="B247">
        <v>14.096</v>
      </c>
      <c r="C247">
        <v>774.54363999999998</v>
      </c>
      <c r="D247" t="s">
        <v>664</v>
      </c>
      <c r="E247" t="s">
        <v>32</v>
      </c>
      <c r="F247" t="s">
        <v>2</v>
      </c>
      <c r="G247">
        <v>0.23</v>
      </c>
      <c r="H247" t="b">
        <v>1</v>
      </c>
      <c r="I247">
        <v>10.699</v>
      </c>
      <c r="J247">
        <v>774.54431</v>
      </c>
      <c r="K247" t="s">
        <v>665</v>
      </c>
      <c r="L247" t="s">
        <v>124</v>
      </c>
      <c r="N247" t="s">
        <v>666</v>
      </c>
      <c r="O247" t="s">
        <v>667</v>
      </c>
      <c r="P247">
        <v>410</v>
      </c>
      <c r="Q247" t="b">
        <v>0</v>
      </c>
      <c r="R247" t="b">
        <v>1</v>
      </c>
      <c r="S247" t="b">
        <v>1</v>
      </c>
      <c r="T247" t="s">
        <v>7</v>
      </c>
      <c r="U247" t="b">
        <v>0</v>
      </c>
      <c r="V247" t="b">
        <v>0</v>
      </c>
      <c r="W247">
        <v>739</v>
      </c>
      <c r="X247">
        <v>0</v>
      </c>
      <c r="Y247">
        <v>0</v>
      </c>
      <c r="Z247">
        <v>0.99</v>
      </c>
      <c r="AA247">
        <v>0.501</v>
      </c>
      <c r="AB247">
        <v>0.56799999999999995</v>
      </c>
      <c r="AC247">
        <v>0.93400000000000005</v>
      </c>
      <c r="AD247">
        <v>3</v>
      </c>
      <c r="AE247">
        <v>2</v>
      </c>
      <c r="AF247">
        <v>2.4119999999999999</v>
      </c>
      <c r="AG247">
        <v>396.25</v>
      </c>
      <c r="AH247" t="s">
        <v>450</v>
      </c>
      <c r="AI247" t="s">
        <v>669</v>
      </c>
    </row>
    <row r="248" spans="1:35" x14ac:dyDescent="0.55000000000000004">
      <c r="A248">
        <v>740</v>
      </c>
      <c r="B248">
        <v>14.739000000000001</v>
      </c>
      <c r="C248">
        <v>774.54376000000002</v>
      </c>
      <c r="D248" t="s">
        <v>670</v>
      </c>
      <c r="E248" t="s">
        <v>32</v>
      </c>
      <c r="F248" t="s">
        <v>2</v>
      </c>
      <c r="G248">
        <v>0.38</v>
      </c>
      <c r="H248" t="b">
        <v>1</v>
      </c>
      <c r="I248">
        <v>10.047000000000001</v>
      </c>
      <c r="J248">
        <v>774.54431</v>
      </c>
      <c r="K248" t="s">
        <v>665</v>
      </c>
      <c r="L248" t="s">
        <v>124</v>
      </c>
      <c r="N248" t="s">
        <v>671</v>
      </c>
      <c r="O248" t="s">
        <v>678</v>
      </c>
      <c r="P248">
        <v>410</v>
      </c>
      <c r="Q248" t="b">
        <v>0</v>
      </c>
      <c r="R248" t="b">
        <v>1</v>
      </c>
      <c r="S248" t="b">
        <v>1</v>
      </c>
      <c r="T248" t="s">
        <v>7</v>
      </c>
      <c r="U248" t="b">
        <v>0</v>
      </c>
      <c r="V248" t="b">
        <v>0</v>
      </c>
      <c r="W248">
        <v>740</v>
      </c>
      <c r="X248">
        <v>0</v>
      </c>
      <c r="Y248">
        <v>0</v>
      </c>
      <c r="Z248">
        <v>0.99</v>
      </c>
      <c r="AA248">
        <v>0.27900000000000003</v>
      </c>
      <c r="AB248">
        <v>0.35399999999999998</v>
      </c>
      <c r="AC248">
        <v>0.96399999999999997</v>
      </c>
      <c r="AD248">
        <v>3</v>
      </c>
      <c r="AE248">
        <v>2</v>
      </c>
      <c r="AF248">
        <v>2.331</v>
      </c>
      <c r="AG248">
        <v>346.3</v>
      </c>
      <c r="AH248" t="s">
        <v>468</v>
      </c>
      <c r="AI248" t="s">
        <v>673</v>
      </c>
    </row>
    <row r="249" spans="1:35" x14ac:dyDescent="0.55000000000000004">
      <c r="A249">
        <v>743</v>
      </c>
      <c r="B249">
        <v>15.064</v>
      </c>
      <c r="C249">
        <v>774.54413</v>
      </c>
      <c r="D249" t="s">
        <v>664</v>
      </c>
      <c r="E249" t="s">
        <v>32</v>
      </c>
      <c r="F249" t="s">
        <v>2</v>
      </c>
      <c r="G249">
        <v>0.23</v>
      </c>
      <c r="H249" t="b">
        <v>1</v>
      </c>
      <c r="I249">
        <v>10.699</v>
      </c>
      <c r="J249">
        <v>774.54431</v>
      </c>
      <c r="K249" t="s">
        <v>665</v>
      </c>
      <c r="L249" t="s">
        <v>124</v>
      </c>
      <c r="N249" t="s">
        <v>666</v>
      </c>
      <c r="O249" t="s">
        <v>683</v>
      </c>
      <c r="P249">
        <v>410</v>
      </c>
      <c r="Q249" t="b">
        <v>0</v>
      </c>
      <c r="R249" t="b">
        <v>1</v>
      </c>
      <c r="S249" t="b">
        <v>1</v>
      </c>
      <c r="T249" t="s">
        <v>7</v>
      </c>
      <c r="U249" t="b">
        <v>0</v>
      </c>
      <c r="V249" t="b">
        <v>0</v>
      </c>
      <c r="W249">
        <v>743</v>
      </c>
      <c r="X249">
        <v>0</v>
      </c>
      <c r="Y249">
        <v>0</v>
      </c>
      <c r="Z249">
        <v>0.99</v>
      </c>
      <c r="AA249">
        <v>0.68400000000000005</v>
      </c>
      <c r="AB249">
        <v>0.76500000000000001</v>
      </c>
      <c r="AC249">
        <v>0.93700000000000006</v>
      </c>
      <c r="AD249">
        <v>3</v>
      </c>
      <c r="AE249">
        <v>2</v>
      </c>
      <c r="AF249">
        <v>2.492</v>
      </c>
      <c r="AG249">
        <v>12461.69</v>
      </c>
      <c r="AH249" t="s">
        <v>454</v>
      </c>
      <c r="AI249" t="s">
        <v>674</v>
      </c>
    </row>
    <row r="250" spans="1:35" x14ac:dyDescent="0.55000000000000004">
      <c r="A250">
        <v>752</v>
      </c>
      <c r="B250">
        <v>14.707000000000001</v>
      </c>
      <c r="C250">
        <v>775.59717000000001</v>
      </c>
      <c r="D250" t="s">
        <v>675</v>
      </c>
      <c r="E250" t="s">
        <v>1</v>
      </c>
      <c r="F250" t="s">
        <v>2</v>
      </c>
      <c r="G250">
        <v>0.23</v>
      </c>
      <c r="H250" t="b">
        <v>1</v>
      </c>
      <c r="I250">
        <v>9.5559999999999992</v>
      </c>
      <c r="J250">
        <v>775.59711000000004</v>
      </c>
      <c r="K250" t="s">
        <v>676</v>
      </c>
      <c r="L250" t="s">
        <v>181</v>
      </c>
      <c r="N250" t="s">
        <v>677</v>
      </c>
      <c r="O250" t="s">
        <v>683</v>
      </c>
      <c r="P250">
        <v>410</v>
      </c>
      <c r="Q250" t="b">
        <v>0</v>
      </c>
      <c r="R250" t="b">
        <v>1</v>
      </c>
      <c r="S250" t="b">
        <v>1</v>
      </c>
      <c r="T250" t="s">
        <v>7</v>
      </c>
      <c r="U250" t="b">
        <v>0</v>
      </c>
      <c r="V250" t="b">
        <v>0</v>
      </c>
      <c r="W250">
        <v>752</v>
      </c>
      <c r="X250">
        <v>0</v>
      </c>
      <c r="Y250">
        <v>0</v>
      </c>
      <c r="Z250">
        <v>1</v>
      </c>
      <c r="AA250">
        <v>0.89300000000000002</v>
      </c>
      <c r="AB250">
        <v>0.92400000000000004</v>
      </c>
      <c r="AC250">
        <v>0.94299999999999995</v>
      </c>
      <c r="AD250">
        <v>5</v>
      </c>
      <c r="AE250">
        <v>2</v>
      </c>
      <c r="AF250">
        <v>2.5790000000000002</v>
      </c>
      <c r="AG250">
        <v>48706.66</v>
      </c>
      <c r="AH250" t="s">
        <v>454</v>
      </c>
      <c r="AI250" t="s">
        <v>679</v>
      </c>
    </row>
    <row r="251" spans="1:35" x14ac:dyDescent="0.55000000000000004">
      <c r="A251">
        <v>761</v>
      </c>
      <c r="B251">
        <v>13.316000000000001</v>
      </c>
      <c r="C251">
        <v>776.54296999999997</v>
      </c>
      <c r="D251" t="s">
        <v>680</v>
      </c>
      <c r="E251" t="s">
        <v>1</v>
      </c>
      <c r="F251" t="s">
        <v>2</v>
      </c>
      <c r="G251">
        <v>0.15</v>
      </c>
      <c r="H251" t="b">
        <v>1</v>
      </c>
      <c r="I251">
        <v>9.1379999999999999</v>
      </c>
      <c r="J251">
        <v>776.54467999999997</v>
      </c>
      <c r="K251" t="s">
        <v>681</v>
      </c>
      <c r="L251" t="s">
        <v>660</v>
      </c>
      <c r="N251" t="s">
        <v>682</v>
      </c>
      <c r="O251" t="s">
        <v>689</v>
      </c>
      <c r="P251">
        <v>410</v>
      </c>
      <c r="Q251" t="b">
        <v>0</v>
      </c>
      <c r="R251" t="b">
        <v>1</v>
      </c>
      <c r="S251" t="b">
        <v>1</v>
      </c>
      <c r="T251" t="s">
        <v>7</v>
      </c>
      <c r="U251" t="b">
        <v>0</v>
      </c>
      <c r="V251" t="b">
        <v>0</v>
      </c>
      <c r="W251">
        <v>761</v>
      </c>
      <c r="X251">
        <v>0</v>
      </c>
      <c r="Y251">
        <v>0</v>
      </c>
      <c r="Z251">
        <v>0.98</v>
      </c>
      <c r="AA251">
        <v>0.377</v>
      </c>
      <c r="AB251">
        <v>0.48099999999999998</v>
      </c>
      <c r="AC251">
        <v>0.87</v>
      </c>
      <c r="AD251">
        <v>3</v>
      </c>
      <c r="AE251">
        <v>2</v>
      </c>
      <c r="AF251">
        <v>2.33</v>
      </c>
      <c r="AG251">
        <v>12355.39</v>
      </c>
      <c r="AH251" t="s">
        <v>445</v>
      </c>
      <c r="AI251" t="s">
        <v>684</v>
      </c>
    </row>
    <row r="252" spans="1:35" x14ac:dyDescent="0.55000000000000004">
      <c r="A252">
        <v>762</v>
      </c>
      <c r="B252">
        <v>13.419</v>
      </c>
      <c r="C252">
        <v>776.54345999999998</v>
      </c>
      <c r="D252" t="s">
        <v>680</v>
      </c>
      <c r="E252" t="s">
        <v>1</v>
      </c>
      <c r="F252" t="s">
        <v>2</v>
      </c>
      <c r="G252">
        <v>0.31</v>
      </c>
      <c r="H252" t="b">
        <v>1</v>
      </c>
      <c r="I252">
        <v>9.1379999999999999</v>
      </c>
      <c r="J252">
        <v>776.54467999999997</v>
      </c>
      <c r="K252" t="s">
        <v>681</v>
      </c>
      <c r="L252" t="s">
        <v>660</v>
      </c>
      <c r="N252" t="s">
        <v>682</v>
      </c>
      <c r="O252" t="s">
        <v>689</v>
      </c>
      <c r="P252">
        <v>410</v>
      </c>
      <c r="Q252" t="b">
        <v>0</v>
      </c>
      <c r="R252" t="b">
        <v>1</v>
      </c>
      <c r="S252" t="b">
        <v>1</v>
      </c>
      <c r="T252" t="s">
        <v>7</v>
      </c>
      <c r="U252" t="b">
        <v>0</v>
      </c>
      <c r="V252" t="b">
        <v>0</v>
      </c>
      <c r="W252">
        <v>762</v>
      </c>
      <c r="X252">
        <v>0</v>
      </c>
      <c r="Y252">
        <v>0</v>
      </c>
      <c r="Z252">
        <v>1</v>
      </c>
      <c r="AA252">
        <v>0.69499999999999995</v>
      </c>
      <c r="AB252">
        <v>0.76200000000000001</v>
      </c>
      <c r="AC252">
        <v>0.92600000000000005</v>
      </c>
      <c r="AD252">
        <v>8</v>
      </c>
      <c r="AE252">
        <v>2</v>
      </c>
      <c r="AF252">
        <v>2.4950000000000001</v>
      </c>
      <c r="AG252">
        <v>9108.18</v>
      </c>
      <c r="AH252" t="s">
        <v>454</v>
      </c>
      <c r="AI252" t="s">
        <v>685</v>
      </c>
    </row>
    <row r="253" spans="1:35" x14ac:dyDescent="0.55000000000000004">
      <c r="A253">
        <v>763</v>
      </c>
      <c r="B253">
        <v>13.875</v>
      </c>
      <c r="C253">
        <v>776.55762000000004</v>
      </c>
      <c r="D253" t="s">
        <v>686</v>
      </c>
      <c r="E253" t="s">
        <v>32</v>
      </c>
      <c r="F253" t="s">
        <v>2</v>
      </c>
      <c r="G253">
        <v>0.15</v>
      </c>
      <c r="H253" t="b">
        <v>1</v>
      </c>
      <c r="I253">
        <v>11.061999999999999</v>
      </c>
      <c r="J253">
        <v>776.56</v>
      </c>
      <c r="K253" t="s">
        <v>687</v>
      </c>
      <c r="L253" t="s">
        <v>124</v>
      </c>
      <c r="N253" t="s">
        <v>688</v>
      </c>
      <c r="O253" t="s">
        <v>694</v>
      </c>
      <c r="P253">
        <v>410</v>
      </c>
      <c r="Q253" t="b">
        <v>0</v>
      </c>
      <c r="R253" t="b">
        <v>1</v>
      </c>
      <c r="S253" t="b">
        <v>1</v>
      </c>
      <c r="T253" t="s">
        <v>7</v>
      </c>
      <c r="U253" t="b">
        <v>0</v>
      </c>
      <c r="V253" t="b">
        <v>0</v>
      </c>
      <c r="W253">
        <v>763</v>
      </c>
      <c r="X253">
        <v>0</v>
      </c>
      <c r="Y253">
        <v>0</v>
      </c>
      <c r="Z253">
        <v>0.95</v>
      </c>
      <c r="AA253">
        <v>0.51900000000000002</v>
      </c>
      <c r="AB253">
        <v>0.52400000000000002</v>
      </c>
      <c r="AC253">
        <v>0.89500000000000002</v>
      </c>
      <c r="AD253">
        <v>3</v>
      </c>
      <c r="AE253">
        <v>2</v>
      </c>
      <c r="AF253">
        <v>2.37</v>
      </c>
      <c r="AG253">
        <v>490.73</v>
      </c>
      <c r="AH253" t="s">
        <v>445</v>
      </c>
      <c r="AI253" t="s">
        <v>690</v>
      </c>
    </row>
    <row r="254" spans="1:35" x14ac:dyDescent="0.55000000000000004">
      <c r="A254">
        <v>764</v>
      </c>
      <c r="B254">
        <v>13.955</v>
      </c>
      <c r="C254">
        <v>776.55768</v>
      </c>
      <c r="D254" t="s">
        <v>686</v>
      </c>
      <c r="E254" t="s">
        <v>32</v>
      </c>
      <c r="F254" t="s">
        <v>2</v>
      </c>
      <c r="G254">
        <v>0.23</v>
      </c>
      <c r="H254" t="b">
        <v>1</v>
      </c>
      <c r="I254">
        <v>11.061999999999999</v>
      </c>
      <c r="J254">
        <v>776.56</v>
      </c>
      <c r="K254" t="s">
        <v>687</v>
      </c>
      <c r="L254" t="s">
        <v>124</v>
      </c>
      <c r="N254" t="s">
        <v>688</v>
      </c>
      <c r="O254" t="s">
        <v>694</v>
      </c>
      <c r="P254">
        <v>410</v>
      </c>
      <c r="Q254" t="b">
        <v>0</v>
      </c>
      <c r="R254" t="b">
        <v>1</v>
      </c>
      <c r="S254" t="b">
        <v>1</v>
      </c>
      <c r="T254" t="s">
        <v>7</v>
      </c>
      <c r="U254" t="b">
        <v>0</v>
      </c>
      <c r="V254" t="b">
        <v>0</v>
      </c>
      <c r="W254">
        <v>764</v>
      </c>
      <c r="X254">
        <v>0</v>
      </c>
      <c r="Y254">
        <v>0</v>
      </c>
      <c r="Z254">
        <v>0.96</v>
      </c>
      <c r="AA254">
        <v>0.45100000000000001</v>
      </c>
      <c r="AB254">
        <v>0.46899999999999997</v>
      </c>
      <c r="AC254">
        <v>0.90500000000000003</v>
      </c>
      <c r="AD254">
        <v>3</v>
      </c>
      <c r="AE254">
        <v>2</v>
      </c>
      <c r="AF254">
        <v>2.3530000000000002</v>
      </c>
      <c r="AG254">
        <v>413.57</v>
      </c>
      <c r="AH254" t="s">
        <v>450</v>
      </c>
      <c r="AI254" t="s">
        <v>691</v>
      </c>
    </row>
    <row r="255" spans="1:35" x14ac:dyDescent="0.55000000000000004">
      <c r="A255">
        <v>766</v>
      </c>
      <c r="B255">
        <v>15.407</v>
      </c>
      <c r="C255">
        <v>776.55889999999999</v>
      </c>
      <c r="D255" t="s">
        <v>692</v>
      </c>
      <c r="E255" t="s">
        <v>32</v>
      </c>
      <c r="F255" t="s">
        <v>2</v>
      </c>
      <c r="G255">
        <v>0.23</v>
      </c>
      <c r="H255" t="b">
        <v>1</v>
      </c>
      <c r="I255">
        <v>11.034000000000001</v>
      </c>
      <c r="J255">
        <v>776.56</v>
      </c>
      <c r="K255" t="s">
        <v>687</v>
      </c>
      <c r="L255" t="s">
        <v>124</v>
      </c>
      <c r="N255" t="s">
        <v>693</v>
      </c>
      <c r="O255" t="s">
        <v>700</v>
      </c>
      <c r="P255">
        <v>410</v>
      </c>
      <c r="Q255" t="b">
        <v>0</v>
      </c>
      <c r="R255" t="b">
        <v>1</v>
      </c>
      <c r="S255" t="b">
        <v>1</v>
      </c>
      <c r="T255" t="s">
        <v>7</v>
      </c>
      <c r="U255" t="b">
        <v>0</v>
      </c>
      <c r="V255" t="b">
        <v>0</v>
      </c>
      <c r="W255">
        <v>766</v>
      </c>
      <c r="X255">
        <v>0</v>
      </c>
      <c r="Y255">
        <v>0</v>
      </c>
      <c r="Z255">
        <v>0.99</v>
      </c>
      <c r="AA255">
        <v>0.52800000000000002</v>
      </c>
      <c r="AB255">
        <v>0.57299999999999995</v>
      </c>
      <c r="AC255">
        <v>0.91300000000000003</v>
      </c>
      <c r="AD255">
        <v>3</v>
      </c>
      <c r="AE255">
        <v>2</v>
      </c>
      <c r="AF255">
        <v>2.41</v>
      </c>
      <c r="AG255">
        <v>3225.15</v>
      </c>
      <c r="AH255" t="s">
        <v>454</v>
      </c>
      <c r="AI255" t="s">
        <v>695</v>
      </c>
    </row>
    <row r="256" spans="1:35" x14ac:dyDescent="0.55000000000000004">
      <c r="A256">
        <v>768</v>
      </c>
      <c r="B256">
        <v>14.456</v>
      </c>
      <c r="C256">
        <v>776.55933000000005</v>
      </c>
      <c r="D256" t="s">
        <v>692</v>
      </c>
      <c r="E256" t="s">
        <v>32</v>
      </c>
      <c r="F256" t="s">
        <v>2</v>
      </c>
      <c r="G256">
        <v>0.38</v>
      </c>
      <c r="H256" t="b">
        <v>1</v>
      </c>
      <c r="I256">
        <v>11.034000000000001</v>
      </c>
      <c r="J256">
        <v>776.56</v>
      </c>
      <c r="K256" t="s">
        <v>687</v>
      </c>
      <c r="L256" t="s">
        <v>124</v>
      </c>
      <c r="N256" t="s">
        <v>693</v>
      </c>
      <c r="O256" t="s">
        <v>705</v>
      </c>
      <c r="P256">
        <v>410</v>
      </c>
      <c r="Q256" t="b">
        <v>0</v>
      </c>
      <c r="R256" t="b">
        <v>1</v>
      </c>
      <c r="S256" t="b">
        <v>1</v>
      </c>
      <c r="T256" t="s">
        <v>7</v>
      </c>
      <c r="U256" t="b">
        <v>0</v>
      </c>
      <c r="V256" t="b">
        <v>0</v>
      </c>
      <c r="W256">
        <v>768</v>
      </c>
      <c r="X256">
        <v>0</v>
      </c>
      <c r="Y256">
        <v>0</v>
      </c>
      <c r="Z256">
        <v>0.99</v>
      </c>
      <c r="AA256">
        <v>0.35299999999999998</v>
      </c>
      <c r="AB256">
        <v>0.375</v>
      </c>
      <c r="AC256">
        <v>0.92100000000000004</v>
      </c>
      <c r="AD256">
        <v>3</v>
      </c>
      <c r="AE256">
        <v>2</v>
      </c>
      <c r="AF256">
        <v>2.33</v>
      </c>
      <c r="AG256">
        <v>306.5</v>
      </c>
      <c r="AH256" t="s">
        <v>450</v>
      </c>
      <c r="AI256" t="s">
        <v>696</v>
      </c>
    </row>
    <row r="257" spans="1:35" x14ac:dyDescent="0.55000000000000004">
      <c r="A257">
        <v>778</v>
      </c>
      <c r="B257">
        <v>15.161</v>
      </c>
      <c r="C257">
        <v>777.61237000000006</v>
      </c>
      <c r="D257" t="s">
        <v>697</v>
      </c>
      <c r="E257" t="s">
        <v>1</v>
      </c>
      <c r="F257" t="s">
        <v>2</v>
      </c>
      <c r="G257">
        <v>0.23</v>
      </c>
      <c r="H257" t="b">
        <v>1</v>
      </c>
      <c r="I257">
        <v>10.206</v>
      </c>
      <c r="J257">
        <v>777.61266999999998</v>
      </c>
      <c r="K257" t="s">
        <v>698</v>
      </c>
      <c r="L257" t="s">
        <v>181</v>
      </c>
      <c r="N257" t="s">
        <v>699</v>
      </c>
      <c r="O257" t="s">
        <v>710</v>
      </c>
      <c r="P257">
        <v>410</v>
      </c>
      <c r="Q257" t="b">
        <v>0</v>
      </c>
      <c r="R257" t="b">
        <v>1</v>
      </c>
      <c r="S257" t="b">
        <v>1</v>
      </c>
      <c r="T257" t="s">
        <v>7</v>
      </c>
      <c r="U257" t="b">
        <v>0</v>
      </c>
      <c r="V257" t="b">
        <v>0</v>
      </c>
      <c r="W257">
        <v>778</v>
      </c>
      <c r="X257">
        <v>0</v>
      </c>
      <c r="Y257">
        <v>0</v>
      </c>
      <c r="Z257">
        <v>1</v>
      </c>
      <c r="AA257">
        <v>0.81799999999999995</v>
      </c>
      <c r="AB257">
        <v>0.90400000000000003</v>
      </c>
      <c r="AC257">
        <v>0.93700000000000006</v>
      </c>
      <c r="AD257">
        <v>5</v>
      </c>
      <c r="AE257">
        <v>2</v>
      </c>
      <c r="AF257">
        <v>2.556</v>
      </c>
      <c r="AG257">
        <v>3421.41</v>
      </c>
      <c r="AH257" t="s">
        <v>450</v>
      </c>
      <c r="AI257" t="s">
        <v>701</v>
      </c>
    </row>
    <row r="258" spans="1:35" x14ac:dyDescent="0.55000000000000004">
      <c r="A258">
        <v>787</v>
      </c>
      <c r="B258">
        <v>14.64</v>
      </c>
      <c r="C258">
        <v>778.56</v>
      </c>
      <c r="D258" t="s">
        <v>702</v>
      </c>
      <c r="E258" t="s">
        <v>1</v>
      </c>
      <c r="F258" t="s">
        <v>2</v>
      </c>
      <c r="G258">
        <v>0.23</v>
      </c>
      <c r="H258" t="b">
        <v>1</v>
      </c>
      <c r="I258">
        <v>9.7880000000000003</v>
      </c>
      <c r="J258">
        <v>778.56042000000002</v>
      </c>
      <c r="K258" t="s">
        <v>703</v>
      </c>
      <c r="L258" t="s">
        <v>660</v>
      </c>
      <c r="N258" t="s">
        <v>704</v>
      </c>
      <c r="O258" t="s">
        <v>714</v>
      </c>
      <c r="P258">
        <v>410</v>
      </c>
      <c r="Q258" t="b">
        <v>0</v>
      </c>
      <c r="R258" t="b">
        <v>1</v>
      </c>
      <c r="S258" t="b">
        <v>1</v>
      </c>
      <c r="T258" t="s">
        <v>7</v>
      </c>
      <c r="U258" t="b">
        <v>0</v>
      </c>
      <c r="V258" t="b">
        <v>0</v>
      </c>
      <c r="W258">
        <v>787</v>
      </c>
      <c r="X258">
        <v>0</v>
      </c>
      <c r="Y258">
        <v>0</v>
      </c>
      <c r="Z258">
        <v>1</v>
      </c>
      <c r="AA258">
        <v>0.81200000000000006</v>
      </c>
      <c r="AB258">
        <v>0.85799999999999998</v>
      </c>
      <c r="AC258">
        <v>0.86</v>
      </c>
      <c r="AD258">
        <v>6</v>
      </c>
      <c r="AE258">
        <v>2</v>
      </c>
      <c r="AF258">
        <v>2.512</v>
      </c>
      <c r="AG258">
        <v>17859.16</v>
      </c>
      <c r="AH258" t="s">
        <v>454</v>
      </c>
      <c r="AI258" t="s">
        <v>706</v>
      </c>
    </row>
    <row r="259" spans="1:35" x14ac:dyDescent="0.55000000000000004">
      <c r="A259">
        <v>791</v>
      </c>
      <c r="B259">
        <v>15.545999999999999</v>
      </c>
      <c r="C259">
        <v>778.57434000000001</v>
      </c>
      <c r="D259" t="s">
        <v>707</v>
      </c>
      <c r="E259" t="s">
        <v>32</v>
      </c>
      <c r="F259" t="s">
        <v>2</v>
      </c>
      <c r="G259">
        <v>0.38</v>
      </c>
      <c r="H259" t="b">
        <v>1</v>
      </c>
      <c r="I259">
        <v>11.202999999999999</v>
      </c>
      <c r="J259">
        <v>778.57561999999996</v>
      </c>
      <c r="K259" t="s">
        <v>708</v>
      </c>
      <c r="L259" t="s">
        <v>124</v>
      </c>
      <c r="N259" t="s">
        <v>709</v>
      </c>
      <c r="O259" t="s">
        <v>714</v>
      </c>
      <c r="P259">
        <v>410</v>
      </c>
      <c r="Q259" t="b">
        <v>0</v>
      </c>
      <c r="R259" t="b">
        <v>1</v>
      </c>
      <c r="S259" t="b">
        <v>1</v>
      </c>
      <c r="T259" t="s">
        <v>7</v>
      </c>
      <c r="U259" t="b">
        <v>0</v>
      </c>
      <c r="V259" t="b">
        <v>0</v>
      </c>
      <c r="W259">
        <v>791</v>
      </c>
      <c r="X259">
        <v>0</v>
      </c>
      <c r="Y259">
        <v>0</v>
      </c>
      <c r="Z259">
        <v>0.98</v>
      </c>
      <c r="AA259">
        <v>0.309</v>
      </c>
      <c r="AB259">
        <v>0.376</v>
      </c>
      <c r="AC259">
        <v>0.96699999999999997</v>
      </c>
      <c r="AD259">
        <v>3</v>
      </c>
      <c r="AE259">
        <v>2</v>
      </c>
      <c r="AF259">
        <v>2.335</v>
      </c>
      <c r="AG259">
        <v>528.46</v>
      </c>
      <c r="AH259" t="s">
        <v>468</v>
      </c>
      <c r="AI259" t="s">
        <v>711</v>
      </c>
    </row>
    <row r="260" spans="1:35" x14ac:dyDescent="0.55000000000000004">
      <c r="A260">
        <v>793</v>
      </c>
      <c r="B260">
        <v>14.079000000000001</v>
      </c>
      <c r="C260">
        <v>778.57550000000003</v>
      </c>
      <c r="D260" t="s">
        <v>712</v>
      </c>
      <c r="E260" t="s">
        <v>32</v>
      </c>
      <c r="F260" t="s">
        <v>2</v>
      </c>
      <c r="G260">
        <v>0.15</v>
      </c>
      <c r="H260" t="b">
        <v>1</v>
      </c>
      <c r="I260">
        <v>12.286</v>
      </c>
      <c r="J260">
        <v>778.57561999999996</v>
      </c>
      <c r="K260" t="s">
        <v>708</v>
      </c>
      <c r="L260" t="s">
        <v>124</v>
      </c>
      <c r="N260" t="s">
        <v>713</v>
      </c>
      <c r="O260" t="s">
        <v>714</v>
      </c>
      <c r="P260">
        <v>410</v>
      </c>
      <c r="Q260" t="b">
        <v>0</v>
      </c>
      <c r="R260" t="b">
        <v>1</v>
      </c>
      <c r="S260" t="b">
        <v>1</v>
      </c>
      <c r="T260" t="s">
        <v>7</v>
      </c>
      <c r="U260" t="b">
        <v>0</v>
      </c>
      <c r="V260" t="b">
        <v>0</v>
      </c>
      <c r="W260">
        <v>793</v>
      </c>
      <c r="X260">
        <v>0</v>
      </c>
      <c r="Y260">
        <v>0</v>
      </c>
      <c r="Z260">
        <v>1</v>
      </c>
      <c r="AA260">
        <v>0.75800000000000001</v>
      </c>
      <c r="AB260">
        <v>0.78100000000000003</v>
      </c>
      <c r="AC260">
        <v>0.91300000000000003</v>
      </c>
      <c r="AD260">
        <v>3</v>
      </c>
      <c r="AE260">
        <v>2</v>
      </c>
      <c r="AF260">
        <v>2.5070000000000001</v>
      </c>
      <c r="AG260">
        <v>1441.13</v>
      </c>
      <c r="AH260" t="s">
        <v>445</v>
      </c>
      <c r="AI260" t="s">
        <v>715</v>
      </c>
    </row>
    <row r="261" spans="1:35" x14ac:dyDescent="0.55000000000000004">
      <c r="A261">
        <v>795</v>
      </c>
      <c r="B261">
        <v>16.353000000000002</v>
      </c>
      <c r="C261">
        <v>778.57556</v>
      </c>
      <c r="D261" t="s">
        <v>712</v>
      </c>
      <c r="E261" t="s">
        <v>32</v>
      </c>
      <c r="F261" t="s">
        <v>2</v>
      </c>
      <c r="G261">
        <v>0.46</v>
      </c>
      <c r="H261" t="b">
        <v>1</v>
      </c>
      <c r="I261">
        <v>12.286</v>
      </c>
      <c r="J261">
        <v>778.57561999999996</v>
      </c>
      <c r="K261" t="s">
        <v>708</v>
      </c>
      <c r="L261" t="s">
        <v>124</v>
      </c>
      <c r="N261" t="s">
        <v>713</v>
      </c>
      <c r="O261" t="s">
        <v>721</v>
      </c>
      <c r="P261">
        <v>410</v>
      </c>
      <c r="Q261" t="b">
        <v>0</v>
      </c>
      <c r="R261" t="b">
        <v>1</v>
      </c>
      <c r="S261" t="b">
        <v>1</v>
      </c>
      <c r="T261" t="s">
        <v>7</v>
      </c>
      <c r="U261" t="b">
        <v>0</v>
      </c>
      <c r="V261" t="b">
        <v>0</v>
      </c>
      <c r="W261">
        <v>795</v>
      </c>
      <c r="X261">
        <v>0</v>
      </c>
      <c r="Y261">
        <v>0</v>
      </c>
      <c r="Z261">
        <v>1</v>
      </c>
      <c r="AA261">
        <v>0.75800000000000001</v>
      </c>
      <c r="AB261">
        <v>0.78100000000000003</v>
      </c>
      <c r="AC261">
        <v>0.91300000000000003</v>
      </c>
      <c r="AD261">
        <v>3</v>
      </c>
      <c r="AE261">
        <v>2</v>
      </c>
      <c r="AF261">
        <v>2.5070000000000001</v>
      </c>
      <c r="AG261">
        <v>2238</v>
      </c>
      <c r="AH261" t="s">
        <v>445</v>
      </c>
      <c r="AI261" t="s">
        <v>716</v>
      </c>
    </row>
    <row r="262" spans="1:35" x14ac:dyDescent="0.55000000000000004">
      <c r="A262">
        <v>796</v>
      </c>
      <c r="B262">
        <v>14.17</v>
      </c>
      <c r="C262">
        <v>778.57574</v>
      </c>
      <c r="D262" t="s">
        <v>712</v>
      </c>
      <c r="E262" t="s">
        <v>32</v>
      </c>
      <c r="F262" t="s">
        <v>2</v>
      </c>
      <c r="G262">
        <v>0.31</v>
      </c>
      <c r="H262" t="b">
        <v>1</v>
      </c>
      <c r="I262">
        <v>12.286</v>
      </c>
      <c r="J262">
        <v>778.57561999999996</v>
      </c>
      <c r="K262" t="s">
        <v>708</v>
      </c>
      <c r="L262" t="s">
        <v>124</v>
      </c>
      <c r="N262" t="s">
        <v>713</v>
      </c>
      <c r="O262" t="s">
        <v>726</v>
      </c>
      <c r="P262">
        <v>410</v>
      </c>
      <c r="Q262" t="b">
        <v>0</v>
      </c>
      <c r="R262" t="b">
        <v>1</v>
      </c>
      <c r="S262" t="b">
        <v>1</v>
      </c>
      <c r="T262" t="s">
        <v>7</v>
      </c>
      <c r="U262" t="b">
        <v>0</v>
      </c>
      <c r="V262" t="b">
        <v>0</v>
      </c>
      <c r="W262">
        <v>796</v>
      </c>
      <c r="X262">
        <v>0</v>
      </c>
      <c r="Y262">
        <v>0</v>
      </c>
      <c r="Z262">
        <v>1</v>
      </c>
      <c r="AA262">
        <v>0.73499999999999999</v>
      </c>
      <c r="AB262">
        <v>0.76600000000000001</v>
      </c>
      <c r="AC262">
        <v>0.9</v>
      </c>
      <c r="AD262">
        <v>3</v>
      </c>
      <c r="AE262">
        <v>2</v>
      </c>
      <c r="AF262">
        <v>2.4929999999999999</v>
      </c>
      <c r="AG262">
        <v>1170.3499999999999</v>
      </c>
      <c r="AH262" t="s">
        <v>450</v>
      </c>
      <c r="AI262" t="s">
        <v>717</v>
      </c>
    </row>
    <row r="263" spans="1:35" x14ac:dyDescent="0.55000000000000004">
      <c r="A263">
        <v>797</v>
      </c>
      <c r="B263">
        <v>15.794</v>
      </c>
      <c r="C263">
        <v>778.59576000000004</v>
      </c>
      <c r="D263" t="s">
        <v>718</v>
      </c>
      <c r="E263" t="s">
        <v>1</v>
      </c>
      <c r="F263" t="s">
        <v>2</v>
      </c>
      <c r="G263">
        <v>0.15</v>
      </c>
      <c r="H263" t="b">
        <v>1</v>
      </c>
      <c r="I263">
        <v>10.71</v>
      </c>
      <c r="J263">
        <v>778.59667999999999</v>
      </c>
      <c r="K263" t="s">
        <v>719</v>
      </c>
      <c r="L263" t="s">
        <v>329</v>
      </c>
      <c r="N263" t="s">
        <v>720</v>
      </c>
      <c r="O263" t="s">
        <v>730</v>
      </c>
      <c r="P263">
        <v>410</v>
      </c>
      <c r="Q263" t="b">
        <v>0</v>
      </c>
      <c r="R263" t="b">
        <v>1</v>
      </c>
      <c r="S263" t="b">
        <v>1</v>
      </c>
      <c r="T263" t="s">
        <v>7</v>
      </c>
      <c r="U263" t="b">
        <v>0</v>
      </c>
      <c r="V263" t="b">
        <v>0</v>
      </c>
      <c r="W263">
        <v>797</v>
      </c>
      <c r="X263">
        <v>0</v>
      </c>
      <c r="Y263">
        <v>0</v>
      </c>
      <c r="Z263">
        <v>0.99</v>
      </c>
      <c r="AA263">
        <v>0.378</v>
      </c>
      <c r="AB263">
        <v>0.47899999999999998</v>
      </c>
      <c r="AC263">
        <v>0.874</v>
      </c>
      <c r="AD263">
        <v>4</v>
      </c>
      <c r="AE263">
        <v>2</v>
      </c>
      <c r="AF263">
        <v>2.3380000000000001</v>
      </c>
      <c r="AG263">
        <v>130.99</v>
      </c>
      <c r="AH263" t="s">
        <v>468</v>
      </c>
      <c r="AI263" t="s">
        <v>722</v>
      </c>
    </row>
    <row r="264" spans="1:35" x14ac:dyDescent="0.55000000000000004">
      <c r="A264">
        <v>812</v>
      </c>
      <c r="B264">
        <v>15.39</v>
      </c>
      <c r="C264">
        <v>780.55298000000005</v>
      </c>
      <c r="D264" t="s">
        <v>723</v>
      </c>
      <c r="E264" t="s">
        <v>32</v>
      </c>
      <c r="F264" t="s">
        <v>2</v>
      </c>
      <c r="G264">
        <v>0.08</v>
      </c>
      <c r="H264" t="b">
        <v>1</v>
      </c>
      <c r="I264">
        <v>10.615</v>
      </c>
      <c r="J264">
        <v>780.55487000000005</v>
      </c>
      <c r="K264" t="s">
        <v>724</v>
      </c>
      <c r="L264" t="s">
        <v>139</v>
      </c>
      <c r="N264" t="s">
        <v>725</v>
      </c>
      <c r="O264" t="s">
        <v>730</v>
      </c>
      <c r="P264">
        <v>410</v>
      </c>
      <c r="Q264" t="b">
        <v>0</v>
      </c>
      <c r="R264" t="b">
        <v>1</v>
      </c>
      <c r="S264" t="b">
        <v>1</v>
      </c>
      <c r="T264" t="s">
        <v>7</v>
      </c>
      <c r="U264" t="b">
        <v>0</v>
      </c>
      <c r="V264" t="b">
        <v>0</v>
      </c>
      <c r="W264">
        <v>812</v>
      </c>
      <c r="X264">
        <v>0</v>
      </c>
      <c r="Y264">
        <v>0</v>
      </c>
      <c r="Z264">
        <v>0.97</v>
      </c>
      <c r="AA264">
        <v>0.32</v>
      </c>
      <c r="AB264">
        <v>0.443</v>
      </c>
      <c r="AC264">
        <v>0.65200000000000002</v>
      </c>
      <c r="AD264">
        <v>2</v>
      </c>
      <c r="AE264">
        <v>2</v>
      </c>
      <c r="AF264">
        <v>2.214</v>
      </c>
      <c r="AG264">
        <v>56.15</v>
      </c>
      <c r="AH264" t="s">
        <v>468</v>
      </c>
      <c r="AI264" t="s">
        <v>727</v>
      </c>
    </row>
    <row r="265" spans="1:35" x14ac:dyDescent="0.55000000000000004">
      <c r="A265">
        <v>813</v>
      </c>
      <c r="B265">
        <v>13.835000000000001</v>
      </c>
      <c r="C265">
        <v>780.55389000000002</v>
      </c>
      <c r="D265" t="s">
        <v>728</v>
      </c>
      <c r="E265" t="s">
        <v>32</v>
      </c>
      <c r="F265" t="s">
        <v>2</v>
      </c>
      <c r="G265">
        <v>0.23</v>
      </c>
      <c r="H265" t="b">
        <v>1</v>
      </c>
      <c r="I265">
        <v>9.4209999999999994</v>
      </c>
      <c r="J265">
        <v>780.55487000000005</v>
      </c>
      <c r="K265" t="s">
        <v>724</v>
      </c>
      <c r="L265" t="s">
        <v>209</v>
      </c>
      <c r="N265" t="s">
        <v>729</v>
      </c>
      <c r="O265" t="s">
        <v>736</v>
      </c>
      <c r="P265">
        <v>410</v>
      </c>
      <c r="Q265" t="b">
        <v>0</v>
      </c>
      <c r="R265" t="b">
        <v>1</v>
      </c>
      <c r="S265" t="b">
        <v>1</v>
      </c>
      <c r="T265" t="s">
        <v>7</v>
      </c>
      <c r="U265" t="b">
        <v>0</v>
      </c>
      <c r="V265" t="b">
        <v>0</v>
      </c>
      <c r="W265">
        <v>813</v>
      </c>
      <c r="X265">
        <v>0</v>
      </c>
      <c r="Y265">
        <v>0</v>
      </c>
      <c r="Z265">
        <v>0.98</v>
      </c>
      <c r="AA265">
        <v>0.52100000000000002</v>
      </c>
      <c r="AB265">
        <v>0.57499999999999996</v>
      </c>
      <c r="AC265">
        <v>0.93500000000000005</v>
      </c>
      <c r="AD265">
        <v>3</v>
      </c>
      <c r="AE265">
        <v>2</v>
      </c>
      <c r="AF265">
        <v>2.41</v>
      </c>
      <c r="AG265">
        <v>113.14</v>
      </c>
      <c r="AH265" t="s">
        <v>450</v>
      </c>
      <c r="AI265" t="s">
        <v>731</v>
      </c>
    </row>
    <row r="266" spans="1:35" x14ac:dyDescent="0.55000000000000004">
      <c r="A266">
        <v>814</v>
      </c>
      <c r="B266">
        <v>14.015000000000001</v>
      </c>
      <c r="C266">
        <v>780.55444</v>
      </c>
      <c r="D266" t="s">
        <v>728</v>
      </c>
      <c r="E266" t="s">
        <v>32</v>
      </c>
      <c r="F266" t="s">
        <v>2</v>
      </c>
      <c r="G266">
        <v>0.38</v>
      </c>
      <c r="H266" t="b">
        <v>1</v>
      </c>
      <c r="I266">
        <v>9.4209999999999994</v>
      </c>
      <c r="J266">
        <v>780.55487000000005</v>
      </c>
      <c r="K266" t="s">
        <v>724</v>
      </c>
      <c r="L266" t="s">
        <v>209</v>
      </c>
      <c r="N266" t="s">
        <v>729</v>
      </c>
      <c r="O266" t="s">
        <v>736</v>
      </c>
      <c r="P266">
        <v>410</v>
      </c>
      <c r="Q266" t="b">
        <v>0</v>
      </c>
      <c r="R266" t="b">
        <v>1</v>
      </c>
      <c r="S266" t="b">
        <v>1</v>
      </c>
      <c r="T266" t="s">
        <v>7</v>
      </c>
      <c r="U266" t="b">
        <v>0</v>
      </c>
      <c r="V266" t="b">
        <v>0</v>
      </c>
      <c r="W266">
        <v>814</v>
      </c>
      <c r="X266">
        <v>0</v>
      </c>
      <c r="Y266">
        <v>0</v>
      </c>
      <c r="Z266">
        <v>1</v>
      </c>
      <c r="AA266">
        <v>0.65300000000000002</v>
      </c>
      <c r="AB266">
        <v>0.68400000000000005</v>
      </c>
      <c r="AC266">
        <v>0.93100000000000005</v>
      </c>
      <c r="AD266">
        <v>4</v>
      </c>
      <c r="AE266">
        <v>2</v>
      </c>
      <c r="AF266">
        <v>2.4710000000000001</v>
      </c>
      <c r="AG266">
        <v>358.44</v>
      </c>
      <c r="AH266" t="s">
        <v>450</v>
      </c>
      <c r="AI266" t="s">
        <v>732</v>
      </c>
    </row>
    <row r="267" spans="1:35" x14ac:dyDescent="0.55000000000000004">
      <c r="A267">
        <v>817</v>
      </c>
      <c r="B267">
        <v>14.961</v>
      </c>
      <c r="C267">
        <v>780.58929000000001</v>
      </c>
      <c r="D267" t="s">
        <v>733</v>
      </c>
      <c r="E267" t="s">
        <v>32</v>
      </c>
      <c r="F267" t="s">
        <v>2</v>
      </c>
      <c r="G267">
        <v>0.38</v>
      </c>
      <c r="H267" t="b">
        <v>1</v>
      </c>
      <c r="I267">
        <v>12.129</v>
      </c>
      <c r="J267">
        <v>780.59131000000002</v>
      </c>
      <c r="K267" t="s">
        <v>734</v>
      </c>
      <c r="L267" t="s">
        <v>124</v>
      </c>
      <c r="N267" t="s">
        <v>735</v>
      </c>
      <c r="O267" t="s">
        <v>741</v>
      </c>
      <c r="P267">
        <v>410</v>
      </c>
      <c r="Q267" t="b">
        <v>0</v>
      </c>
      <c r="R267" t="b">
        <v>1</v>
      </c>
      <c r="S267" t="b">
        <v>1</v>
      </c>
      <c r="T267" t="s">
        <v>7</v>
      </c>
      <c r="U267" t="b">
        <v>0</v>
      </c>
      <c r="V267" t="b">
        <v>0</v>
      </c>
      <c r="W267">
        <v>817</v>
      </c>
      <c r="X267">
        <v>0</v>
      </c>
      <c r="Y267">
        <v>0</v>
      </c>
      <c r="Z267">
        <v>0.98</v>
      </c>
      <c r="AA267">
        <v>0.53500000000000003</v>
      </c>
      <c r="AB267">
        <v>0.57699999999999996</v>
      </c>
      <c r="AC267">
        <v>0.877</v>
      </c>
      <c r="AD267">
        <v>3</v>
      </c>
      <c r="AE267">
        <v>2</v>
      </c>
      <c r="AF267">
        <v>2.39</v>
      </c>
      <c r="AG267">
        <v>241.27</v>
      </c>
      <c r="AH267" t="s">
        <v>450</v>
      </c>
      <c r="AI267" t="s">
        <v>737</v>
      </c>
    </row>
    <row r="268" spans="1:35" x14ac:dyDescent="0.55000000000000004">
      <c r="A268">
        <v>818</v>
      </c>
      <c r="B268">
        <v>16.741</v>
      </c>
      <c r="C268">
        <v>780.59009000000003</v>
      </c>
      <c r="D268" t="s">
        <v>733</v>
      </c>
      <c r="E268" t="s">
        <v>32</v>
      </c>
      <c r="F268" t="s">
        <v>2</v>
      </c>
      <c r="G268">
        <v>0.38</v>
      </c>
      <c r="H268" t="b">
        <v>1</v>
      </c>
      <c r="I268">
        <v>12.129</v>
      </c>
      <c r="J268">
        <v>780.59131000000002</v>
      </c>
      <c r="K268" t="s">
        <v>734</v>
      </c>
      <c r="L268" t="s">
        <v>124</v>
      </c>
      <c r="N268" t="s">
        <v>735</v>
      </c>
      <c r="O268" t="s">
        <v>741</v>
      </c>
      <c r="P268">
        <v>410</v>
      </c>
      <c r="Q268" t="b">
        <v>0</v>
      </c>
      <c r="R268" t="b">
        <v>1</v>
      </c>
      <c r="S268" t="b">
        <v>1</v>
      </c>
      <c r="T268" t="s">
        <v>7</v>
      </c>
      <c r="U268" t="b">
        <v>0</v>
      </c>
      <c r="V268" t="b">
        <v>0</v>
      </c>
      <c r="W268">
        <v>818</v>
      </c>
      <c r="X268">
        <v>0</v>
      </c>
      <c r="Y268">
        <v>0</v>
      </c>
      <c r="Z268">
        <v>0.99</v>
      </c>
      <c r="AA268">
        <v>0.53500000000000003</v>
      </c>
      <c r="AB268">
        <v>0.57699999999999996</v>
      </c>
      <c r="AC268">
        <v>0.877</v>
      </c>
      <c r="AD268">
        <v>3</v>
      </c>
      <c r="AE268">
        <v>2</v>
      </c>
      <c r="AF268">
        <v>2.3959999999999999</v>
      </c>
      <c r="AG268">
        <v>216.42</v>
      </c>
      <c r="AH268" t="s">
        <v>450</v>
      </c>
      <c r="AI268" t="s">
        <v>738</v>
      </c>
    </row>
    <row r="269" spans="1:35" x14ac:dyDescent="0.55000000000000004">
      <c r="A269">
        <v>819</v>
      </c>
      <c r="B269">
        <v>16.486999999999998</v>
      </c>
      <c r="C269">
        <v>780.59105999999997</v>
      </c>
      <c r="D269" t="s">
        <v>739</v>
      </c>
      <c r="E269" t="s">
        <v>32</v>
      </c>
      <c r="F269" t="s">
        <v>2</v>
      </c>
      <c r="G269">
        <v>0.38</v>
      </c>
      <c r="H269" t="b">
        <v>1</v>
      </c>
      <c r="I269">
        <v>12.553000000000001</v>
      </c>
      <c r="J269">
        <v>780.59131000000002</v>
      </c>
      <c r="K269" t="s">
        <v>734</v>
      </c>
      <c r="L269" t="s">
        <v>124</v>
      </c>
      <c r="N269" t="s">
        <v>740</v>
      </c>
      <c r="O269" t="s">
        <v>741</v>
      </c>
      <c r="P269">
        <v>410</v>
      </c>
      <c r="Q269" t="b">
        <v>0</v>
      </c>
      <c r="R269" t="b">
        <v>1</v>
      </c>
      <c r="S269" t="b">
        <v>1</v>
      </c>
      <c r="T269" t="s">
        <v>7</v>
      </c>
      <c r="U269" t="b">
        <v>0</v>
      </c>
      <c r="V269" t="b">
        <v>0</v>
      </c>
      <c r="W269">
        <v>819</v>
      </c>
      <c r="X269">
        <v>0</v>
      </c>
      <c r="Y269">
        <v>0</v>
      </c>
      <c r="Z269">
        <v>1</v>
      </c>
      <c r="AA269">
        <v>0.374</v>
      </c>
      <c r="AB269">
        <v>0.42399999999999999</v>
      </c>
      <c r="AC269">
        <v>0.93</v>
      </c>
      <c r="AD269">
        <v>3</v>
      </c>
      <c r="AE269">
        <v>2</v>
      </c>
      <c r="AF269">
        <v>2.3540000000000001</v>
      </c>
      <c r="AG269">
        <v>342.21</v>
      </c>
      <c r="AH269" t="s">
        <v>452</v>
      </c>
      <c r="AI269" t="s">
        <v>742</v>
      </c>
    </row>
    <row r="270" spans="1:35" x14ac:dyDescent="0.55000000000000004">
      <c r="A270">
        <v>820</v>
      </c>
      <c r="B270">
        <v>15.254</v>
      </c>
      <c r="C270">
        <v>780.59131000000002</v>
      </c>
      <c r="D270" t="s">
        <v>739</v>
      </c>
      <c r="E270" t="s">
        <v>32</v>
      </c>
      <c r="F270" t="s">
        <v>2</v>
      </c>
      <c r="G270">
        <v>0.23</v>
      </c>
      <c r="H270" t="b">
        <v>1</v>
      </c>
      <c r="I270">
        <v>12.553000000000001</v>
      </c>
      <c r="J270">
        <v>780.59131000000002</v>
      </c>
      <c r="K270" t="s">
        <v>734</v>
      </c>
      <c r="L270" t="s">
        <v>124</v>
      </c>
      <c r="N270" t="s">
        <v>740</v>
      </c>
      <c r="O270" t="s">
        <v>748</v>
      </c>
      <c r="P270">
        <v>410</v>
      </c>
      <c r="Q270" t="b">
        <v>0</v>
      </c>
      <c r="R270" t="b">
        <v>1</v>
      </c>
      <c r="S270" t="b">
        <v>1</v>
      </c>
      <c r="T270" t="s">
        <v>7</v>
      </c>
      <c r="U270" t="b">
        <v>0</v>
      </c>
      <c r="V270" t="b">
        <v>0</v>
      </c>
      <c r="W270">
        <v>820</v>
      </c>
      <c r="X270">
        <v>0</v>
      </c>
      <c r="Y270">
        <v>0</v>
      </c>
      <c r="Z270">
        <v>1</v>
      </c>
      <c r="AA270">
        <v>0.41199999999999998</v>
      </c>
      <c r="AB270">
        <v>0.45900000000000002</v>
      </c>
      <c r="AC270">
        <v>0.91100000000000003</v>
      </c>
      <c r="AD270">
        <v>3</v>
      </c>
      <c r="AE270">
        <v>2</v>
      </c>
      <c r="AF270">
        <v>2.3620000000000001</v>
      </c>
      <c r="AG270">
        <v>1245.22</v>
      </c>
      <c r="AH270" t="s">
        <v>468</v>
      </c>
      <c r="AI270" t="s">
        <v>743</v>
      </c>
    </row>
    <row r="271" spans="1:35" x14ac:dyDescent="0.55000000000000004">
      <c r="A271">
        <v>821</v>
      </c>
      <c r="B271">
        <v>15.318</v>
      </c>
      <c r="C271">
        <v>780.59209999999996</v>
      </c>
      <c r="D271" t="s">
        <v>739</v>
      </c>
      <c r="E271" t="s">
        <v>32</v>
      </c>
      <c r="F271" t="s">
        <v>2</v>
      </c>
      <c r="G271">
        <v>0.23</v>
      </c>
      <c r="H271" t="b">
        <v>1</v>
      </c>
      <c r="I271">
        <v>12.553000000000001</v>
      </c>
      <c r="J271">
        <v>780.59131000000002</v>
      </c>
      <c r="K271" t="s">
        <v>734</v>
      </c>
      <c r="L271" t="s">
        <v>124</v>
      </c>
      <c r="N271" t="s">
        <v>740</v>
      </c>
      <c r="O271" t="s">
        <v>753</v>
      </c>
      <c r="P271">
        <v>410</v>
      </c>
      <c r="Q271" t="b">
        <v>0</v>
      </c>
      <c r="R271" t="b">
        <v>1</v>
      </c>
      <c r="S271" t="b">
        <v>1</v>
      </c>
      <c r="T271" t="s">
        <v>7</v>
      </c>
      <c r="U271" t="b">
        <v>0</v>
      </c>
      <c r="V271" t="b">
        <v>0</v>
      </c>
      <c r="W271">
        <v>821</v>
      </c>
      <c r="X271">
        <v>0</v>
      </c>
      <c r="Y271">
        <v>0</v>
      </c>
      <c r="Z271">
        <v>1</v>
      </c>
      <c r="AA271">
        <v>0.72899999999999998</v>
      </c>
      <c r="AB271">
        <v>0.76300000000000001</v>
      </c>
      <c r="AC271">
        <v>0.90900000000000003</v>
      </c>
      <c r="AD271">
        <v>3</v>
      </c>
      <c r="AE271">
        <v>2</v>
      </c>
      <c r="AF271">
        <v>2.4950000000000001</v>
      </c>
      <c r="AG271">
        <v>639.66999999999996</v>
      </c>
      <c r="AH271" t="s">
        <v>450</v>
      </c>
      <c r="AI271" t="s">
        <v>744</v>
      </c>
    </row>
    <row r="272" spans="1:35" x14ac:dyDescent="0.55000000000000004">
      <c r="A272">
        <v>843</v>
      </c>
      <c r="B272">
        <v>14.317</v>
      </c>
      <c r="C272">
        <v>782.56970000000001</v>
      </c>
      <c r="D272" t="s">
        <v>745</v>
      </c>
      <c r="E272" t="s">
        <v>32</v>
      </c>
      <c r="F272" t="s">
        <v>2</v>
      </c>
      <c r="G272">
        <v>0.23</v>
      </c>
      <c r="H272" t="b">
        <v>1</v>
      </c>
      <c r="I272">
        <v>10.782</v>
      </c>
      <c r="J272">
        <v>782.57050000000004</v>
      </c>
      <c r="K272" t="s">
        <v>746</v>
      </c>
      <c r="L272" t="s">
        <v>209</v>
      </c>
      <c r="N272" t="s">
        <v>747</v>
      </c>
      <c r="O272" t="s">
        <v>758</v>
      </c>
      <c r="P272">
        <v>410</v>
      </c>
      <c r="Q272" t="b">
        <v>0</v>
      </c>
      <c r="R272" t="b">
        <v>1</v>
      </c>
      <c r="S272" t="b">
        <v>1</v>
      </c>
      <c r="T272" t="s">
        <v>7</v>
      </c>
      <c r="U272" t="b">
        <v>0</v>
      </c>
      <c r="V272" t="b">
        <v>0</v>
      </c>
      <c r="W272">
        <v>843</v>
      </c>
      <c r="X272">
        <v>0</v>
      </c>
      <c r="Y272">
        <v>0</v>
      </c>
      <c r="Z272">
        <v>0.99</v>
      </c>
      <c r="AA272">
        <v>0.38100000000000001</v>
      </c>
      <c r="AB272">
        <v>0.42899999999999999</v>
      </c>
      <c r="AC272">
        <v>0.83299999999999996</v>
      </c>
      <c r="AD272">
        <v>3</v>
      </c>
      <c r="AE272">
        <v>2</v>
      </c>
      <c r="AF272">
        <v>2.3109999999999999</v>
      </c>
      <c r="AG272">
        <v>84.21</v>
      </c>
      <c r="AH272" t="s">
        <v>522</v>
      </c>
      <c r="AI272" t="s">
        <v>749</v>
      </c>
    </row>
    <row r="273" spans="1:35" x14ac:dyDescent="0.55000000000000004">
      <c r="A273">
        <v>846</v>
      </c>
      <c r="B273">
        <v>17.349</v>
      </c>
      <c r="C273">
        <v>782.60693000000003</v>
      </c>
      <c r="D273" t="s">
        <v>750</v>
      </c>
      <c r="E273" t="s">
        <v>32</v>
      </c>
      <c r="F273" t="s">
        <v>2</v>
      </c>
      <c r="G273">
        <v>0.38</v>
      </c>
      <c r="H273" t="b">
        <v>1</v>
      </c>
      <c r="I273">
        <v>12.888</v>
      </c>
      <c r="J273">
        <v>782.60686999999996</v>
      </c>
      <c r="K273" t="s">
        <v>751</v>
      </c>
      <c r="L273" t="s">
        <v>124</v>
      </c>
      <c r="N273" t="s">
        <v>752</v>
      </c>
      <c r="O273" t="s">
        <v>763</v>
      </c>
      <c r="P273">
        <v>410</v>
      </c>
      <c r="Q273" t="b">
        <v>0</v>
      </c>
      <c r="R273" t="b">
        <v>1</v>
      </c>
      <c r="S273" t="b">
        <v>1</v>
      </c>
      <c r="T273" t="s">
        <v>7</v>
      </c>
      <c r="U273" t="b">
        <v>0</v>
      </c>
      <c r="V273" t="b">
        <v>0</v>
      </c>
      <c r="W273">
        <v>846</v>
      </c>
      <c r="X273">
        <v>0</v>
      </c>
      <c r="Y273">
        <v>0</v>
      </c>
      <c r="Z273">
        <v>1</v>
      </c>
      <c r="AA273">
        <v>0.67900000000000005</v>
      </c>
      <c r="AB273">
        <v>0.70499999999999996</v>
      </c>
      <c r="AC273">
        <v>0.872</v>
      </c>
      <c r="AD273">
        <v>3</v>
      </c>
      <c r="AE273">
        <v>2</v>
      </c>
      <c r="AF273">
        <v>2.456</v>
      </c>
      <c r="AG273">
        <v>427.58</v>
      </c>
      <c r="AH273" t="s">
        <v>450</v>
      </c>
      <c r="AI273" t="s">
        <v>754</v>
      </c>
    </row>
    <row r="274" spans="1:35" x14ac:dyDescent="0.55000000000000004">
      <c r="A274">
        <v>848</v>
      </c>
      <c r="B274">
        <v>16.904</v>
      </c>
      <c r="C274">
        <v>782.65125</v>
      </c>
      <c r="D274" t="s">
        <v>755</v>
      </c>
      <c r="E274" t="s">
        <v>32</v>
      </c>
      <c r="F274" t="s">
        <v>2</v>
      </c>
      <c r="G274">
        <v>0.46</v>
      </c>
      <c r="H274" t="b">
        <v>1</v>
      </c>
      <c r="I274">
        <v>12.465</v>
      </c>
      <c r="J274">
        <v>782.65148999999997</v>
      </c>
      <c r="K274" t="s">
        <v>756</v>
      </c>
      <c r="L274" t="s">
        <v>650</v>
      </c>
      <c r="N274" t="s">
        <v>757</v>
      </c>
      <c r="O274" t="s">
        <v>768</v>
      </c>
      <c r="P274">
        <v>410</v>
      </c>
      <c r="Q274" t="b">
        <v>0</v>
      </c>
      <c r="R274" t="b">
        <v>1</v>
      </c>
      <c r="S274" t="b">
        <v>1</v>
      </c>
      <c r="T274" t="s">
        <v>7</v>
      </c>
      <c r="U274" t="b">
        <v>0</v>
      </c>
      <c r="V274" t="b">
        <v>0</v>
      </c>
      <c r="W274">
        <v>848</v>
      </c>
      <c r="X274">
        <v>0</v>
      </c>
      <c r="Y274">
        <v>0</v>
      </c>
      <c r="Z274">
        <v>1</v>
      </c>
      <c r="AA274">
        <v>0.40300000000000002</v>
      </c>
      <c r="AB274">
        <v>0.629</v>
      </c>
      <c r="AC274">
        <v>0.877</v>
      </c>
      <c r="AD274">
        <v>5</v>
      </c>
      <c r="AE274">
        <v>2</v>
      </c>
      <c r="AF274">
        <v>2.383</v>
      </c>
      <c r="AG274">
        <v>1002.56</v>
      </c>
      <c r="AH274" t="s">
        <v>450</v>
      </c>
      <c r="AI274" t="s">
        <v>759</v>
      </c>
    </row>
    <row r="275" spans="1:35" x14ac:dyDescent="0.55000000000000004">
      <c r="A275">
        <v>868</v>
      </c>
      <c r="B275">
        <v>15.38</v>
      </c>
      <c r="C275">
        <v>784.58533</v>
      </c>
      <c r="D275" t="s">
        <v>760</v>
      </c>
      <c r="E275" t="s">
        <v>32</v>
      </c>
      <c r="F275" t="s">
        <v>2</v>
      </c>
      <c r="G275">
        <v>0.38</v>
      </c>
      <c r="H275" t="b">
        <v>1</v>
      </c>
      <c r="I275">
        <v>12.207000000000001</v>
      </c>
      <c r="J275">
        <v>784.58618000000001</v>
      </c>
      <c r="K275" t="s">
        <v>761</v>
      </c>
      <c r="L275" t="s">
        <v>209</v>
      </c>
      <c r="N275" t="s">
        <v>762</v>
      </c>
      <c r="O275" t="s">
        <v>773</v>
      </c>
      <c r="P275">
        <v>410</v>
      </c>
      <c r="Q275" t="b">
        <v>0</v>
      </c>
      <c r="R275" t="b">
        <v>1</v>
      </c>
      <c r="S275" t="b">
        <v>1</v>
      </c>
      <c r="T275" t="s">
        <v>7</v>
      </c>
      <c r="U275" t="b">
        <v>0</v>
      </c>
      <c r="V275" t="b">
        <v>0</v>
      </c>
      <c r="W275">
        <v>868</v>
      </c>
      <c r="X275">
        <v>0</v>
      </c>
      <c r="Y275">
        <v>0</v>
      </c>
      <c r="Z275">
        <v>0.99</v>
      </c>
      <c r="AA275">
        <v>0.51</v>
      </c>
      <c r="AB275">
        <v>0.57199999999999995</v>
      </c>
      <c r="AC275">
        <v>0.92400000000000004</v>
      </c>
      <c r="AD275">
        <v>3</v>
      </c>
      <c r="AE275">
        <v>2</v>
      </c>
      <c r="AF275">
        <v>2.411</v>
      </c>
      <c r="AG275">
        <v>262.5</v>
      </c>
      <c r="AH275" t="s">
        <v>450</v>
      </c>
      <c r="AI275" t="s">
        <v>764</v>
      </c>
    </row>
    <row r="276" spans="1:35" x14ac:dyDescent="0.55000000000000004">
      <c r="A276">
        <v>869</v>
      </c>
      <c r="B276">
        <v>17.95</v>
      </c>
      <c r="C276">
        <v>784.62225000000001</v>
      </c>
      <c r="D276" t="s">
        <v>765</v>
      </c>
      <c r="E276" t="s">
        <v>32</v>
      </c>
      <c r="F276" t="s">
        <v>2</v>
      </c>
      <c r="G276">
        <v>0.38</v>
      </c>
      <c r="H276" t="b">
        <v>1</v>
      </c>
      <c r="I276">
        <v>13.111000000000001</v>
      </c>
      <c r="J276">
        <v>784.62261999999998</v>
      </c>
      <c r="K276" t="s">
        <v>766</v>
      </c>
      <c r="L276" t="s">
        <v>124</v>
      </c>
      <c r="N276" t="s">
        <v>767</v>
      </c>
      <c r="O276" t="s">
        <v>778</v>
      </c>
      <c r="P276">
        <v>410</v>
      </c>
      <c r="Q276" t="b">
        <v>0</v>
      </c>
      <c r="R276" t="b">
        <v>1</v>
      </c>
      <c r="S276" t="b">
        <v>1</v>
      </c>
      <c r="T276" t="s">
        <v>7</v>
      </c>
      <c r="U276" t="b">
        <v>0</v>
      </c>
      <c r="V276" t="b">
        <v>0</v>
      </c>
      <c r="W276">
        <v>869</v>
      </c>
      <c r="X276">
        <v>0</v>
      </c>
      <c r="Y276">
        <v>0</v>
      </c>
      <c r="Z276">
        <v>1</v>
      </c>
      <c r="AA276">
        <v>0.437</v>
      </c>
      <c r="AB276">
        <v>0.48899999999999999</v>
      </c>
      <c r="AC276">
        <v>0.876</v>
      </c>
      <c r="AD276">
        <v>3</v>
      </c>
      <c r="AE276">
        <v>2</v>
      </c>
      <c r="AF276">
        <v>2.36</v>
      </c>
      <c r="AG276">
        <v>128.38</v>
      </c>
      <c r="AH276" t="s">
        <v>522</v>
      </c>
      <c r="AI276" t="s">
        <v>769</v>
      </c>
    </row>
    <row r="277" spans="1:35" x14ac:dyDescent="0.55000000000000004">
      <c r="A277">
        <v>884</v>
      </c>
      <c r="B277">
        <v>12.085000000000001</v>
      </c>
      <c r="C277">
        <v>786.50518999999997</v>
      </c>
      <c r="D277" t="s">
        <v>770</v>
      </c>
      <c r="E277" t="s">
        <v>32</v>
      </c>
      <c r="F277" t="s">
        <v>2</v>
      </c>
      <c r="G277">
        <v>0.23</v>
      </c>
      <c r="H277" t="b">
        <v>1</v>
      </c>
      <c r="I277">
        <v>8.7899999999999991</v>
      </c>
      <c r="J277">
        <v>786.50787000000003</v>
      </c>
      <c r="K277" t="s">
        <v>771</v>
      </c>
      <c r="L277" t="s">
        <v>139</v>
      </c>
      <c r="N277" t="s">
        <v>772</v>
      </c>
      <c r="O277" t="s">
        <v>783</v>
      </c>
      <c r="P277">
        <v>410</v>
      </c>
      <c r="Q277" t="b">
        <v>0</v>
      </c>
      <c r="R277" t="b">
        <v>1</v>
      </c>
      <c r="S277" t="b">
        <v>1</v>
      </c>
      <c r="T277" t="s">
        <v>7</v>
      </c>
      <c r="U277" t="b">
        <v>0</v>
      </c>
      <c r="V277" t="b">
        <v>0</v>
      </c>
      <c r="W277">
        <v>884</v>
      </c>
      <c r="X277">
        <v>0</v>
      </c>
      <c r="Y277">
        <v>0</v>
      </c>
      <c r="Z277">
        <v>0.95</v>
      </c>
      <c r="AA277">
        <v>0.35899999999999999</v>
      </c>
      <c r="AB277">
        <v>0.432</v>
      </c>
      <c r="AC277">
        <v>0.872</v>
      </c>
      <c r="AD277">
        <v>3</v>
      </c>
      <c r="AE277">
        <v>2</v>
      </c>
      <c r="AF277">
        <v>2.3029999999999999</v>
      </c>
      <c r="AG277">
        <v>154.28</v>
      </c>
      <c r="AH277" t="s">
        <v>522</v>
      </c>
      <c r="AI277" t="s">
        <v>774</v>
      </c>
    </row>
    <row r="278" spans="1:35" x14ac:dyDescent="0.55000000000000004">
      <c r="A278">
        <v>893</v>
      </c>
      <c r="B278">
        <v>14.224</v>
      </c>
      <c r="C278">
        <v>786.56524999999999</v>
      </c>
      <c r="D278" t="s">
        <v>775</v>
      </c>
      <c r="E278" t="s">
        <v>1</v>
      </c>
      <c r="F278" t="s">
        <v>2</v>
      </c>
      <c r="G278">
        <v>0.23</v>
      </c>
      <c r="H278" t="b">
        <v>1</v>
      </c>
      <c r="I278">
        <v>9.7149999999999999</v>
      </c>
      <c r="J278">
        <v>786.56542999999999</v>
      </c>
      <c r="K278" t="s">
        <v>776</v>
      </c>
      <c r="L278" t="s">
        <v>329</v>
      </c>
      <c r="N278" t="s">
        <v>777</v>
      </c>
      <c r="O278" t="s">
        <v>787</v>
      </c>
      <c r="P278">
        <v>410</v>
      </c>
      <c r="Q278" t="b">
        <v>0</v>
      </c>
      <c r="R278" t="b">
        <v>1</v>
      </c>
      <c r="S278" t="b">
        <v>1</v>
      </c>
      <c r="T278" t="s">
        <v>7</v>
      </c>
      <c r="U278" t="b">
        <v>0</v>
      </c>
      <c r="V278" t="b">
        <v>0</v>
      </c>
      <c r="W278">
        <v>893</v>
      </c>
      <c r="X278">
        <v>0</v>
      </c>
      <c r="Y278">
        <v>0</v>
      </c>
      <c r="Z278">
        <v>1</v>
      </c>
      <c r="AA278">
        <v>0.86</v>
      </c>
      <c r="AB278">
        <v>0.92500000000000004</v>
      </c>
      <c r="AC278">
        <v>0.88600000000000001</v>
      </c>
      <c r="AD278">
        <v>6</v>
      </c>
      <c r="AE278">
        <v>2</v>
      </c>
      <c r="AF278">
        <v>2.5470000000000002</v>
      </c>
      <c r="AG278">
        <v>21650.52</v>
      </c>
      <c r="AH278" t="s">
        <v>450</v>
      </c>
      <c r="AI278" t="s">
        <v>779</v>
      </c>
    </row>
    <row r="279" spans="1:35" x14ac:dyDescent="0.55000000000000004">
      <c r="A279">
        <v>908</v>
      </c>
      <c r="B279">
        <v>13.359</v>
      </c>
      <c r="C279">
        <v>788.52166999999997</v>
      </c>
      <c r="D279" t="s">
        <v>780</v>
      </c>
      <c r="E279" t="s">
        <v>32</v>
      </c>
      <c r="F279" t="s">
        <v>2</v>
      </c>
      <c r="G279">
        <v>0.23</v>
      </c>
      <c r="H279" t="b">
        <v>1</v>
      </c>
      <c r="I279">
        <v>9.2390000000000008</v>
      </c>
      <c r="J279">
        <v>788.52362000000005</v>
      </c>
      <c r="K279" t="s">
        <v>781</v>
      </c>
      <c r="L279" t="s">
        <v>139</v>
      </c>
      <c r="N279" t="s">
        <v>782</v>
      </c>
      <c r="O279" t="s">
        <v>792</v>
      </c>
      <c r="P279">
        <v>410</v>
      </c>
      <c r="Q279" t="b">
        <v>0</v>
      </c>
      <c r="R279" t="b">
        <v>1</v>
      </c>
      <c r="S279" t="b">
        <v>1</v>
      </c>
      <c r="T279" t="s">
        <v>7</v>
      </c>
      <c r="U279" t="b">
        <v>0</v>
      </c>
      <c r="V279" t="b">
        <v>0</v>
      </c>
      <c r="W279">
        <v>908</v>
      </c>
      <c r="X279">
        <v>0</v>
      </c>
      <c r="Y279">
        <v>0</v>
      </c>
      <c r="Z279">
        <v>0.96</v>
      </c>
      <c r="AA279">
        <v>0.52100000000000002</v>
      </c>
      <c r="AB279">
        <v>0.59399999999999997</v>
      </c>
      <c r="AC279">
        <v>0.88</v>
      </c>
      <c r="AD279">
        <v>4</v>
      </c>
      <c r="AE279">
        <v>2</v>
      </c>
      <c r="AF279">
        <v>2.3839999999999999</v>
      </c>
      <c r="AG279">
        <v>778.27</v>
      </c>
      <c r="AH279" t="s">
        <v>450</v>
      </c>
      <c r="AI279" t="s">
        <v>784</v>
      </c>
    </row>
    <row r="280" spans="1:35" x14ac:dyDescent="0.55000000000000004">
      <c r="A280">
        <v>913</v>
      </c>
      <c r="B280">
        <v>12.965</v>
      </c>
      <c r="C280">
        <v>788.54492000000005</v>
      </c>
      <c r="D280" t="s">
        <v>785</v>
      </c>
      <c r="E280" t="s">
        <v>1</v>
      </c>
      <c r="F280" t="s">
        <v>2</v>
      </c>
      <c r="G280">
        <v>0.23</v>
      </c>
      <c r="H280" t="b">
        <v>1</v>
      </c>
      <c r="I280">
        <v>8.8439999999999994</v>
      </c>
      <c r="J280">
        <v>788.54467999999997</v>
      </c>
      <c r="K280" t="s">
        <v>360</v>
      </c>
      <c r="L280" t="s">
        <v>660</v>
      </c>
      <c r="N280" t="s">
        <v>786</v>
      </c>
      <c r="O280" t="s">
        <v>797</v>
      </c>
      <c r="P280">
        <v>410</v>
      </c>
      <c r="Q280" t="b">
        <v>0</v>
      </c>
      <c r="R280" t="b">
        <v>1</v>
      </c>
      <c r="S280" t="b">
        <v>1</v>
      </c>
      <c r="T280" t="s">
        <v>7</v>
      </c>
      <c r="U280" t="b">
        <v>0</v>
      </c>
      <c r="V280" t="b">
        <v>0</v>
      </c>
      <c r="W280">
        <v>913</v>
      </c>
      <c r="X280">
        <v>0</v>
      </c>
      <c r="Y280">
        <v>0</v>
      </c>
      <c r="Z280">
        <v>1</v>
      </c>
      <c r="AA280">
        <v>0.79600000000000004</v>
      </c>
      <c r="AB280">
        <v>0.876</v>
      </c>
      <c r="AC280">
        <v>0.88800000000000001</v>
      </c>
      <c r="AD280">
        <v>9</v>
      </c>
      <c r="AE280">
        <v>2</v>
      </c>
      <c r="AF280">
        <v>2.5249999999999999</v>
      </c>
      <c r="AG280">
        <v>4738.87</v>
      </c>
      <c r="AH280" t="s">
        <v>450</v>
      </c>
      <c r="AI280" t="s">
        <v>788</v>
      </c>
    </row>
    <row r="281" spans="1:35" x14ac:dyDescent="0.55000000000000004">
      <c r="A281">
        <v>915</v>
      </c>
      <c r="B281">
        <v>15.510999999999999</v>
      </c>
      <c r="C281">
        <v>788.55871999999999</v>
      </c>
      <c r="D281" t="s">
        <v>789</v>
      </c>
      <c r="E281" t="s">
        <v>32</v>
      </c>
      <c r="F281" t="s">
        <v>2</v>
      </c>
      <c r="G281">
        <v>0.08</v>
      </c>
      <c r="H281" t="b">
        <v>1</v>
      </c>
      <c r="I281">
        <v>11.031000000000001</v>
      </c>
      <c r="J281">
        <v>788.56</v>
      </c>
      <c r="K281" t="s">
        <v>790</v>
      </c>
      <c r="L281" t="s">
        <v>124</v>
      </c>
      <c r="N281" t="s">
        <v>791</v>
      </c>
      <c r="O281" t="s">
        <v>801</v>
      </c>
      <c r="P281">
        <v>410</v>
      </c>
      <c r="Q281" t="b">
        <v>0</v>
      </c>
      <c r="R281" t="b">
        <v>1</v>
      </c>
      <c r="S281" t="b">
        <v>1</v>
      </c>
      <c r="T281" t="s">
        <v>7</v>
      </c>
      <c r="U281" t="b">
        <v>0</v>
      </c>
      <c r="V281" t="b">
        <v>0</v>
      </c>
      <c r="W281">
        <v>915</v>
      </c>
      <c r="X281">
        <v>0</v>
      </c>
      <c r="Y281">
        <v>0</v>
      </c>
      <c r="Z281">
        <v>0.99</v>
      </c>
      <c r="AA281">
        <v>0.26400000000000001</v>
      </c>
      <c r="AB281">
        <v>0.36099999999999999</v>
      </c>
      <c r="AC281">
        <v>0.70399999999999996</v>
      </c>
      <c r="AD281">
        <v>2</v>
      </c>
      <c r="AE281">
        <v>2</v>
      </c>
      <c r="AF281">
        <v>2.2149999999999999</v>
      </c>
      <c r="AG281">
        <v>154.61000000000001</v>
      </c>
      <c r="AH281" t="s">
        <v>445</v>
      </c>
      <c r="AI281" t="s">
        <v>793</v>
      </c>
    </row>
    <row r="282" spans="1:35" x14ac:dyDescent="0.55000000000000004">
      <c r="A282">
        <v>916</v>
      </c>
      <c r="B282">
        <v>15.201000000000001</v>
      </c>
      <c r="C282">
        <v>788.58025999999995</v>
      </c>
      <c r="D282" t="s">
        <v>794</v>
      </c>
      <c r="E282" t="s">
        <v>1</v>
      </c>
      <c r="F282" t="s">
        <v>2</v>
      </c>
      <c r="G282">
        <v>0.23</v>
      </c>
      <c r="H282" t="b">
        <v>1</v>
      </c>
      <c r="I282">
        <v>9.9440000000000008</v>
      </c>
      <c r="J282">
        <v>788.58112000000006</v>
      </c>
      <c r="K282" t="s">
        <v>795</v>
      </c>
      <c r="L282" t="s">
        <v>329</v>
      </c>
      <c r="N282" t="s">
        <v>796</v>
      </c>
      <c r="O282" t="s">
        <v>801</v>
      </c>
      <c r="P282">
        <v>410</v>
      </c>
      <c r="Q282" t="b">
        <v>0</v>
      </c>
      <c r="R282" t="b">
        <v>1</v>
      </c>
      <c r="S282" t="b">
        <v>1</v>
      </c>
      <c r="T282" t="s">
        <v>7</v>
      </c>
      <c r="U282" t="b">
        <v>0</v>
      </c>
      <c r="V282" t="b">
        <v>0</v>
      </c>
      <c r="W282">
        <v>916</v>
      </c>
      <c r="X282">
        <v>0</v>
      </c>
      <c r="Y282">
        <v>0</v>
      </c>
      <c r="Z282">
        <v>1</v>
      </c>
      <c r="AA282">
        <v>0.82599999999999996</v>
      </c>
      <c r="AB282">
        <v>0.91500000000000004</v>
      </c>
      <c r="AC282">
        <v>0.89300000000000002</v>
      </c>
      <c r="AD282">
        <v>6</v>
      </c>
      <c r="AE282">
        <v>2</v>
      </c>
      <c r="AF282">
        <v>2.54</v>
      </c>
      <c r="AG282">
        <v>7196.22</v>
      </c>
      <c r="AH282" t="s">
        <v>450</v>
      </c>
      <c r="AI282" t="s">
        <v>798</v>
      </c>
    </row>
    <row r="283" spans="1:35" x14ac:dyDescent="0.55000000000000004">
      <c r="A283">
        <v>918</v>
      </c>
      <c r="B283">
        <v>14.366</v>
      </c>
      <c r="C283">
        <v>788.58056999999997</v>
      </c>
      <c r="D283" t="s">
        <v>799</v>
      </c>
      <c r="E283" t="s">
        <v>1</v>
      </c>
      <c r="F283" t="s">
        <v>2</v>
      </c>
      <c r="G283">
        <v>0.23</v>
      </c>
      <c r="H283" t="b">
        <v>1</v>
      </c>
      <c r="I283">
        <v>9.8170000000000002</v>
      </c>
      <c r="J283">
        <v>788.58112000000006</v>
      </c>
      <c r="K283" t="s">
        <v>795</v>
      </c>
      <c r="L283" t="s">
        <v>329</v>
      </c>
      <c r="N283" t="s">
        <v>800</v>
      </c>
      <c r="O283" t="s">
        <v>807</v>
      </c>
      <c r="P283">
        <v>420</v>
      </c>
      <c r="Q283" t="b">
        <v>0</v>
      </c>
      <c r="R283" t="b">
        <v>1</v>
      </c>
      <c r="S283" t="b">
        <v>1</v>
      </c>
      <c r="T283" t="s">
        <v>7</v>
      </c>
      <c r="U283" t="b">
        <v>0</v>
      </c>
      <c r="V283" t="b">
        <v>0</v>
      </c>
      <c r="W283">
        <v>918</v>
      </c>
      <c r="X283">
        <v>0</v>
      </c>
      <c r="Y283">
        <v>0</v>
      </c>
      <c r="Z283">
        <v>0.99</v>
      </c>
      <c r="AA283">
        <v>0.753</v>
      </c>
      <c r="AB283">
        <v>0.82699999999999996</v>
      </c>
      <c r="AC283">
        <v>0.91</v>
      </c>
      <c r="AD283">
        <v>5</v>
      </c>
      <c r="AE283">
        <v>2</v>
      </c>
      <c r="AF283">
        <v>2.508</v>
      </c>
      <c r="AG283">
        <v>24675.08</v>
      </c>
      <c r="AH283" t="s">
        <v>468</v>
      </c>
      <c r="AI283" t="s">
        <v>802</v>
      </c>
    </row>
    <row r="284" spans="1:35" x14ac:dyDescent="0.55000000000000004">
      <c r="A284">
        <v>919</v>
      </c>
      <c r="B284">
        <v>14.439</v>
      </c>
      <c r="C284">
        <v>788.58074999999997</v>
      </c>
      <c r="D284" t="s">
        <v>799</v>
      </c>
      <c r="E284" t="s">
        <v>1</v>
      </c>
      <c r="F284" t="s">
        <v>2</v>
      </c>
      <c r="G284">
        <v>0.23</v>
      </c>
      <c r="H284" t="b">
        <v>1</v>
      </c>
      <c r="I284">
        <v>9.8170000000000002</v>
      </c>
      <c r="J284">
        <v>788.58112000000006</v>
      </c>
      <c r="K284" t="s">
        <v>795</v>
      </c>
      <c r="L284" t="s">
        <v>329</v>
      </c>
      <c r="N284" t="s">
        <v>800</v>
      </c>
      <c r="O284" t="s">
        <v>811</v>
      </c>
      <c r="P284">
        <v>410</v>
      </c>
      <c r="Q284" t="b">
        <v>0</v>
      </c>
      <c r="R284" t="b">
        <v>1</v>
      </c>
      <c r="S284" t="b">
        <v>1</v>
      </c>
      <c r="T284" t="s">
        <v>7</v>
      </c>
      <c r="U284" t="b">
        <v>0</v>
      </c>
      <c r="V284" t="b">
        <v>0</v>
      </c>
      <c r="W284">
        <v>919</v>
      </c>
      <c r="X284">
        <v>0</v>
      </c>
      <c r="Y284">
        <v>0</v>
      </c>
      <c r="Z284">
        <v>1</v>
      </c>
      <c r="AA284">
        <v>0.84599999999999997</v>
      </c>
      <c r="AB284">
        <v>0.93300000000000005</v>
      </c>
      <c r="AC284">
        <v>0.88600000000000001</v>
      </c>
      <c r="AD284">
        <v>5</v>
      </c>
      <c r="AE284">
        <v>2</v>
      </c>
      <c r="AF284">
        <v>2.5449999999999999</v>
      </c>
      <c r="AG284">
        <v>13449.32</v>
      </c>
      <c r="AH284" t="s">
        <v>450</v>
      </c>
      <c r="AI284" t="s">
        <v>803</v>
      </c>
    </row>
    <row r="285" spans="1:35" x14ac:dyDescent="0.55000000000000004">
      <c r="A285">
        <v>926</v>
      </c>
      <c r="B285">
        <v>15.228</v>
      </c>
      <c r="C285">
        <v>789.60950000000003</v>
      </c>
      <c r="D285" t="s">
        <v>804</v>
      </c>
      <c r="E285" t="s">
        <v>1</v>
      </c>
      <c r="F285" t="s">
        <v>2</v>
      </c>
      <c r="G285">
        <v>0.31</v>
      </c>
      <c r="H285" t="b">
        <v>1</v>
      </c>
      <c r="I285">
        <v>10.06</v>
      </c>
      <c r="J285">
        <v>789.61266999999998</v>
      </c>
      <c r="K285" t="s">
        <v>805</v>
      </c>
      <c r="L285" t="s">
        <v>181</v>
      </c>
      <c r="N285" t="s">
        <v>806</v>
      </c>
      <c r="O285" t="s">
        <v>816</v>
      </c>
      <c r="P285">
        <v>410</v>
      </c>
      <c r="Q285" t="b">
        <v>0</v>
      </c>
      <c r="R285" t="b">
        <v>1</v>
      </c>
      <c r="S285" t="b">
        <v>1</v>
      </c>
      <c r="T285" t="s">
        <v>7</v>
      </c>
      <c r="U285" t="b">
        <v>0</v>
      </c>
      <c r="V285" t="b">
        <v>0</v>
      </c>
      <c r="W285">
        <v>926</v>
      </c>
      <c r="X285">
        <v>0</v>
      </c>
      <c r="Y285">
        <v>0</v>
      </c>
      <c r="Z285">
        <v>0.94</v>
      </c>
      <c r="AA285">
        <v>0.78100000000000003</v>
      </c>
      <c r="AB285">
        <v>0.87</v>
      </c>
      <c r="AC285">
        <v>0.94299999999999995</v>
      </c>
      <c r="AD285">
        <v>4</v>
      </c>
      <c r="AE285">
        <v>1</v>
      </c>
      <c r="AF285">
        <v>1.871</v>
      </c>
      <c r="AG285">
        <v>7811.75</v>
      </c>
      <c r="AH285" t="s">
        <v>450</v>
      </c>
      <c r="AI285" t="s">
        <v>808</v>
      </c>
    </row>
    <row r="286" spans="1:35" x14ac:dyDescent="0.55000000000000004">
      <c r="A286">
        <v>927</v>
      </c>
      <c r="B286">
        <v>15.291</v>
      </c>
      <c r="C286">
        <v>789.61028999999996</v>
      </c>
      <c r="D286" t="s">
        <v>809</v>
      </c>
      <c r="E286" t="s">
        <v>1</v>
      </c>
      <c r="F286" t="s">
        <v>2</v>
      </c>
      <c r="G286">
        <v>0.15</v>
      </c>
      <c r="H286" t="b">
        <v>1</v>
      </c>
      <c r="I286">
        <v>10.252000000000001</v>
      </c>
      <c r="J286">
        <v>789.61266999999998</v>
      </c>
      <c r="K286" t="s">
        <v>805</v>
      </c>
      <c r="L286" t="s">
        <v>181</v>
      </c>
      <c r="N286" t="s">
        <v>810</v>
      </c>
      <c r="O286" t="s">
        <v>820</v>
      </c>
      <c r="P286">
        <v>410</v>
      </c>
      <c r="Q286" t="b">
        <v>0</v>
      </c>
      <c r="R286" t="b">
        <v>1</v>
      </c>
      <c r="S286" t="b">
        <v>1</v>
      </c>
      <c r="T286" t="s">
        <v>7</v>
      </c>
      <c r="U286" t="b">
        <v>0</v>
      </c>
      <c r="V286" t="b">
        <v>0</v>
      </c>
      <c r="W286">
        <v>927</v>
      </c>
      <c r="X286">
        <v>0</v>
      </c>
      <c r="Y286">
        <v>0</v>
      </c>
      <c r="Z286">
        <v>0.96</v>
      </c>
      <c r="AA286">
        <v>0.83199999999999996</v>
      </c>
      <c r="AB286">
        <v>0.90200000000000002</v>
      </c>
      <c r="AC286">
        <v>0.93899999999999995</v>
      </c>
      <c r="AD286">
        <v>5</v>
      </c>
      <c r="AE286">
        <v>2</v>
      </c>
      <c r="AF286">
        <v>2.5379999999999998</v>
      </c>
      <c r="AG286">
        <v>3482.31</v>
      </c>
      <c r="AH286" t="s">
        <v>522</v>
      </c>
      <c r="AI286" t="s">
        <v>812</v>
      </c>
    </row>
    <row r="287" spans="1:35" x14ac:dyDescent="0.55000000000000004">
      <c r="A287">
        <v>931</v>
      </c>
      <c r="B287">
        <v>14.563000000000001</v>
      </c>
      <c r="C287">
        <v>790.53814999999997</v>
      </c>
      <c r="D287" t="s">
        <v>813</v>
      </c>
      <c r="E287" t="s">
        <v>32</v>
      </c>
      <c r="F287" t="s">
        <v>2</v>
      </c>
      <c r="G287">
        <v>0.23</v>
      </c>
      <c r="H287" t="b">
        <v>1</v>
      </c>
      <c r="I287">
        <v>9.9649999999999999</v>
      </c>
      <c r="J287">
        <v>790.53917999999999</v>
      </c>
      <c r="K287" t="s">
        <v>814</v>
      </c>
      <c r="L287" t="s">
        <v>139</v>
      </c>
      <c r="N287" t="s">
        <v>815</v>
      </c>
      <c r="O287" t="s">
        <v>824</v>
      </c>
      <c r="P287">
        <v>410</v>
      </c>
      <c r="Q287" t="b">
        <v>0</v>
      </c>
      <c r="R287" t="b">
        <v>1</v>
      </c>
      <c r="S287" t="b">
        <v>1</v>
      </c>
      <c r="T287" t="s">
        <v>7</v>
      </c>
      <c r="U287" t="b">
        <v>0</v>
      </c>
      <c r="V287" t="b">
        <v>0</v>
      </c>
      <c r="W287">
        <v>931</v>
      </c>
      <c r="X287">
        <v>0</v>
      </c>
      <c r="Y287">
        <v>0</v>
      </c>
      <c r="Z287">
        <v>0.99</v>
      </c>
      <c r="AA287">
        <v>0.76300000000000001</v>
      </c>
      <c r="AB287">
        <v>0.77700000000000002</v>
      </c>
      <c r="AC287">
        <v>0.89500000000000002</v>
      </c>
      <c r="AD287">
        <v>8</v>
      </c>
      <c r="AE287">
        <v>2</v>
      </c>
      <c r="AF287">
        <v>2.4940000000000002</v>
      </c>
      <c r="AG287">
        <v>5979.89</v>
      </c>
      <c r="AH287" t="s">
        <v>450</v>
      </c>
      <c r="AI287" t="s">
        <v>817</v>
      </c>
    </row>
    <row r="288" spans="1:35" x14ac:dyDescent="0.55000000000000004">
      <c r="A288">
        <v>933</v>
      </c>
      <c r="B288">
        <v>12.266999999999999</v>
      </c>
      <c r="C288">
        <v>790.53899999999999</v>
      </c>
      <c r="D288" t="s">
        <v>818</v>
      </c>
      <c r="E288" t="s">
        <v>32</v>
      </c>
      <c r="F288" t="s">
        <v>2</v>
      </c>
      <c r="G288">
        <v>0.31</v>
      </c>
      <c r="H288" t="b">
        <v>1</v>
      </c>
      <c r="I288">
        <v>9.1289999999999996</v>
      </c>
      <c r="J288">
        <v>790.53917999999999</v>
      </c>
      <c r="K288" t="s">
        <v>814</v>
      </c>
      <c r="L288" t="s">
        <v>209</v>
      </c>
      <c r="N288" t="s">
        <v>819</v>
      </c>
      <c r="O288" t="s">
        <v>820</v>
      </c>
      <c r="P288">
        <v>410</v>
      </c>
      <c r="Q288" t="b">
        <v>0</v>
      </c>
      <c r="R288" t="b">
        <v>1</v>
      </c>
      <c r="S288" t="b">
        <v>1</v>
      </c>
      <c r="T288" t="s">
        <v>7</v>
      </c>
      <c r="U288" t="b">
        <v>0</v>
      </c>
      <c r="V288" t="b">
        <v>0</v>
      </c>
      <c r="W288">
        <v>933</v>
      </c>
      <c r="X288">
        <v>0</v>
      </c>
      <c r="Y288">
        <v>0</v>
      </c>
      <c r="Z288">
        <v>1</v>
      </c>
      <c r="AA288">
        <v>0.746</v>
      </c>
      <c r="AB288">
        <v>0.77600000000000002</v>
      </c>
      <c r="AC288">
        <v>0.94299999999999995</v>
      </c>
      <c r="AD288">
        <v>6</v>
      </c>
      <c r="AE288">
        <v>2</v>
      </c>
      <c r="AF288">
        <v>2.516</v>
      </c>
      <c r="AG288">
        <v>804.55</v>
      </c>
      <c r="AH288" t="s">
        <v>450</v>
      </c>
      <c r="AI288" t="s">
        <v>821</v>
      </c>
    </row>
    <row r="289" spans="1:35" x14ac:dyDescent="0.55000000000000004">
      <c r="A289">
        <v>934</v>
      </c>
      <c r="B289">
        <v>12.965</v>
      </c>
      <c r="C289">
        <v>790.53912000000003</v>
      </c>
      <c r="D289" t="s">
        <v>822</v>
      </c>
      <c r="E289" t="s">
        <v>32</v>
      </c>
      <c r="F289" t="s">
        <v>2</v>
      </c>
      <c r="G289">
        <v>0.23</v>
      </c>
      <c r="H289" t="b">
        <v>1</v>
      </c>
      <c r="I289">
        <v>9.3119999999999994</v>
      </c>
      <c r="J289">
        <v>790.53917999999999</v>
      </c>
      <c r="K289" t="s">
        <v>814</v>
      </c>
      <c r="L289" t="s">
        <v>209</v>
      </c>
      <c r="N289" t="s">
        <v>823</v>
      </c>
      <c r="O289" t="s">
        <v>816</v>
      </c>
      <c r="P289">
        <v>410</v>
      </c>
      <c r="Q289" t="b">
        <v>0</v>
      </c>
      <c r="R289" t="b">
        <v>1</v>
      </c>
      <c r="S289" t="b">
        <v>1</v>
      </c>
      <c r="T289" t="s">
        <v>7</v>
      </c>
      <c r="U289" t="b">
        <v>0</v>
      </c>
      <c r="V289" t="b">
        <v>0</v>
      </c>
      <c r="W289">
        <v>934</v>
      </c>
      <c r="X289">
        <v>0</v>
      </c>
      <c r="Y289">
        <v>0</v>
      </c>
      <c r="Z289">
        <v>0.97</v>
      </c>
      <c r="AA289">
        <v>0.76700000000000002</v>
      </c>
      <c r="AB289">
        <v>0.80300000000000005</v>
      </c>
      <c r="AC289">
        <v>0.93400000000000005</v>
      </c>
      <c r="AD289">
        <v>6</v>
      </c>
      <c r="AE289">
        <v>2</v>
      </c>
      <c r="AF289">
        <v>2.5089999999999999</v>
      </c>
      <c r="AG289">
        <v>8654.7999999999993</v>
      </c>
      <c r="AH289" t="s">
        <v>454</v>
      </c>
      <c r="AI289" t="s">
        <v>825</v>
      </c>
    </row>
    <row r="290" spans="1:35" x14ac:dyDescent="0.55000000000000004">
      <c r="A290">
        <v>935</v>
      </c>
      <c r="B290">
        <v>12.148999999999999</v>
      </c>
      <c r="C290">
        <v>790.53912000000003</v>
      </c>
      <c r="D290" t="s">
        <v>818</v>
      </c>
      <c r="E290" t="s">
        <v>32</v>
      </c>
      <c r="F290" t="s">
        <v>2</v>
      </c>
      <c r="G290">
        <v>0.23</v>
      </c>
      <c r="H290" t="b">
        <v>1</v>
      </c>
      <c r="I290">
        <v>9.1289999999999996</v>
      </c>
      <c r="J290">
        <v>790.53917999999999</v>
      </c>
      <c r="K290" t="s">
        <v>814</v>
      </c>
      <c r="L290" t="s">
        <v>209</v>
      </c>
      <c r="N290" t="s">
        <v>819</v>
      </c>
      <c r="O290" t="s">
        <v>830</v>
      </c>
      <c r="P290">
        <v>410</v>
      </c>
      <c r="Q290" t="b">
        <v>0</v>
      </c>
      <c r="R290" t="b">
        <v>1</v>
      </c>
      <c r="S290" t="b">
        <v>1</v>
      </c>
      <c r="T290" t="s">
        <v>7</v>
      </c>
      <c r="U290" t="b">
        <v>0</v>
      </c>
      <c r="V290" t="b">
        <v>0</v>
      </c>
      <c r="W290">
        <v>935</v>
      </c>
      <c r="X290">
        <v>0</v>
      </c>
      <c r="Y290">
        <v>0</v>
      </c>
      <c r="Z290">
        <v>1</v>
      </c>
      <c r="AA290">
        <v>0.63400000000000001</v>
      </c>
      <c r="AB290">
        <v>0.66100000000000003</v>
      </c>
      <c r="AC290">
        <v>0.94499999999999995</v>
      </c>
      <c r="AD290">
        <v>4</v>
      </c>
      <c r="AE290">
        <v>2</v>
      </c>
      <c r="AF290">
        <v>2.468</v>
      </c>
      <c r="AG290">
        <v>1407.56</v>
      </c>
      <c r="AH290" t="s">
        <v>452</v>
      </c>
      <c r="AI290" t="s">
        <v>826</v>
      </c>
    </row>
    <row r="291" spans="1:35" x14ac:dyDescent="0.55000000000000004">
      <c r="A291">
        <v>936</v>
      </c>
      <c r="B291">
        <v>12.867000000000001</v>
      </c>
      <c r="C291">
        <v>790.53917999999999</v>
      </c>
      <c r="D291" t="s">
        <v>813</v>
      </c>
      <c r="E291" t="s">
        <v>32</v>
      </c>
      <c r="F291" t="s">
        <v>2</v>
      </c>
      <c r="G291">
        <v>0.23</v>
      </c>
      <c r="H291" t="b">
        <v>1</v>
      </c>
      <c r="I291">
        <v>9.9649999999999999</v>
      </c>
      <c r="J291">
        <v>790.53917999999999</v>
      </c>
      <c r="K291" t="s">
        <v>814</v>
      </c>
      <c r="L291" t="s">
        <v>139</v>
      </c>
      <c r="N291" t="s">
        <v>815</v>
      </c>
      <c r="O291" t="s">
        <v>834</v>
      </c>
      <c r="P291">
        <v>410</v>
      </c>
      <c r="Q291" t="b">
        <v>0</v>
      </c>
      <c r="R291" t="b">
        <v>1</v>
      </c>
      <c r="S291" t="b">
        <v>1</v>
      </c>
      <c r="T291" t="s">
        <v>7</v>
      </c>
      <c r="U291" t="b">
        <v>0</v>
      </c>
      <c r="V291" t="b">
        <v>0</v>
      </c>
      <c r="W291">
        <v>936</v>
      </c>
      <c r="X291">
        <v>0</v>
      </c>
      <c r="Y291">
        <v>0</v>
      </c>
      <c r="Z291">
        <v>1</v>
      </c>
      <c r="AA291">
        <v>0.16900000000000001</v>
      </c>
      <c r="AB291">
        <v>0.23200000000000001</v>
      </c>
      <c r="AC291">
        <v>0.66</v>
      </c>
      <c r="AD291">
        <v>2</v>
      </c>
      <c r="AE291">
        <v>2</v>
      </c>
      <c r="AF291">
        <v>2.153</v>
      </c>
      <c r="AG291">
        <v>12401.44</v>
      </c>
      <c r="AH291" t="s">
        <v>468</v>
      </c>
      <c r="AI291" t="s">
        <v>827</v>
      </c>
    </row>
    <row r="292" spans="1:35" x14ac:dyDescent="0.55000000000000004">
      <c r="A292">
        <v>937</v>
      </c>
      <c r="B292">
        <v>14.807</v>
      </c>
      <c r="C292">
        <v>790.55864999999994</v>
      </c>
      <c r="D292" t="s">
        <v>828</v>
      </c>
      <c r="E292" t="s">
        <v>1</v>
      </c>
      <c r="F292" t="s">
        <v>2</v>
      </c>
      <c r="G292">
        <v>0.38</v>
      </c>
      <c r="H292" t="b">
        <v>1</v>
      </c>
      <c r="I292">
        <v>9.4009999999999998</v>
      </c>
      <c r="J292">
        <v>790.56042000000002</v>
      </c>
      <c r="K292" t="s">
        <v>373</v>
      </c>
      <c r="L292" t="s">
        <v>660</v>
      </c>
      <c r="N292" t="s">
        <v>829</v>
      </c>
      <c r="O292" t="s">
        <v>838</v>
      </c>
      <c r="P292">
        <v>410</v>
      </c>
      <c r="Q292" t="b">
        <v>0</v>
      </c>
      <c r="R292" t="b">
        <v>1</v>
      </c>
      <c r="S292" t="b">
        <v>1</v>
      </c>
      <c r="T292" t="s">
        <v>7</v>
      </c>
      <c r="U292" t="b">
        <v>0</v>
      </c>
      <c r="V292" t="b">
        <v>0</v>
      </c>
      <c r="W292">
        <v>937</v>
      </c>
      <c r="X292">
        <v>0</v>
      </c>
      <c r="Y292">
        <v>0</v>
      </c>
      <c r="Z292">
        <v>0.98</v>
      </c>
      <c r="AA292">
        <v>0.52100000000000002</v>
      </c>
      <c r="AB292">
        <v>0.67100000000000004</v>
      </c>
      <c r="AC292">
        <v>0.85599999999999998</v>
      </c>
      <c r="AD292">
        <v>3</v>
      </c>
      <c r="AE292">
        <v>2</v>
      </c>
      <c r="AF292">
        <v>2.4</v>
      </c>
      <c r="AG292">
        <v>507.68</v>
      </c>
      <c r="AH292" t="s">
        <v>450</v>
      </c>
      <c r="AI292" t="s">
        <v>831</v>
      </c>
    </row>
    <row r="293" spans="1:35" x14ac:dyDescent="0.55000000000000004">
      <c r="A293">
        <v>938</v>
      </c>
      <c r="B293">
        <v>14.000999999999999</v>
      </c>
      <c r="C293">
        <v>790.55907999999999</v>
      </c>
      <c r="D293" t="s">
        <v>832</v>
      </c>
      <c r="E293" t="s">
        <v>1</v>
      </c>
      <c r="F293" t="s">
        <v>2</v>
      </c>
      <c r="G293">
        <v>0.23</v>
      </c>
      <c r="H293" t="b">
        <v>1</v>
      </c>
      <c r="I293">
        <v>9.2669999999999995</v>
      </c>
      <c r="J293">
        <v>790.56042000000002</v>
      </c>
      <c r="K293" t="s">
        <v>373</v>
      </c>
      <c r="L293" t="s">
        <v>660</v>
      </c>
      <c r="N293" t="s">
        <v>833</v>
      </c>
      <c r="O293" t="s">
        <v>843</v>
      </c>
      <c r="P293">
        <v>410</v>
      </c>
      <c r="Q293" t="b">
        <v>0</v>
      </c>
      <c r="R293" t="b">
        <v>1</v>
      </c>
      <c r="S293" t="b">
        <v>1</v>
      </c>
      <c r="T293" t="s">
        <v>7</v>
      </c>
      <c r="U293" t="b">
        <v>0</v>
      </c>
      <c r="V293" t="b">
        <v>0</v>
      </c>
      <c r="W293">
        <v>938</v>
      </c>
      <c r="X293">
        <v>0</v>
      </c>
      <c r="Y293">
        <v>0</v>
      </c>
      <c r="Z293">
        <v>0.99</v>
      </c>
      <c r="AA293">
        <v>0.33400000000000002</v>
      </c>
      <c r="AB293">
        <v>0.436</v>
      </c>
      <c r="AC293">
        <v>0.85899999999999999</v>
      </c>
      <c r="AD293">
        <v>3</v>
      </c>
      <c r="AE293">
        <v>2</v>
      </c>
      <c r="AF293">
        <v>2.3119999999999998</v>
      </c>
      <c r="AG293">
        <v>6228.97</v>
      </c>
      <c r="AH293" t="s">
        <v>445</v>
      </c>
      <c r="AI293" t="s">
        <v>835</v>
      </c>
    </row>
    <row r="294" spans="1:35" x14ac:dyDescent="0.55000000000000004">
      <c r="A294">
        <v>939</v>
      </c>
      <c r="B294">
        <v>14.082000000000001</v>
      </c>
      <c r="C294">
        <v>790.55957000000001</v>
      </c>
      <c r="D294" t="s">
        <v>836</v>
      </c>
      <c r="E294" t="s">
        <v>1</v>
      </c>
      <c r="F294" t="s">
        <v>2</v>
      </c>
      <c r="G294">
        <v>0.23</v>
      </c>
      <c r="H294" t="b">
        <v>1</v>
      </c>
      <c r="I294">
        <v>9.3030000000000008</v>
      </c>
      <c r="J294">
        <v>790.56042000000002</v>
      </c>
      <c r="K294" t="s">
        <v>373</v>
      </c>
      <c r="L294" t="s">
        <v>660</v>
      </c>
      <c r="N294" t="s">
        <v>837</v>
      </c>
      <c r="O294" t="s">
        <v>843</v>
      </c>
      <c r="P294">
        <v>410</v>
      </c>
      <c r="Q294" t="b">
        <v>0</v>
      </c>
      <c r="R294" t="b">
        <v>1</v>
      </c>
      <c r="S294" t="b">
        <v>1</v>
      </c>
      <c r="T294" t="s">
        <v>7</v>
      </c>
      <c r="U294" t="b">
        <v>0</v>
      </c>
      <c r="V294" t="b">
        <v>0</v>
      </c>
      <c r="W294">
        <v>939</v>
      </c>
      <c r="X294">
        <v>0</v>
      </c>
      <c r="Y294">
        <v>0</v>
      </c>
      <c r="Z294">
        <v>0.99</v>
      </c>
      <c r="AA294">
        <v>0.67900000000000005</v>
      </c>
      <c r="AB294">
        <v>0.75900000000000001</v>
      </c>
      <c r="AC294">
        <v>0.91200000000000003</v>
      </c>
      <c r="AD294">
        <v>7</v>
      </c>
      <c r="AE294">
        <v>2</v>
      </c>
      <c r="AF294">
        <v>2.48</v>
      </c>
      <c r="AG294">
        <v>4380.3</v>
      </c>
      <c r="AH294" t="s">
        <v>450</v>
      </c>
      <c r="AI294" t="s">
        <v>839</v>
      </c>
    </row>
    <row r="295" spans="1:35" x14ac:dyDescent="0.55000000000000004">
      <c r="A295">
        <v>943</v>
      </c>
      <c r="B295">
        <v>15.272</v>
      </c>
      <c r="C295">
        <v>790.59735000000001</v>
      </c>
      <c r="D295" t="s">
        <v>840</v>
      </c>
      <c r="E295" t="s">
        <v>1</v>
      </c>
      <c r="F295" t="s">
        <v>2</v>
      </c>
      <c r="G295">
        <v>0.23</v>
      </c>
      <c r="H295" t="b">
        <v>1</v>
      </c>
      <c r="I295">
        <v>10.17</v>
      </c>
      <c r="J295">
        <v>790.59667999999999</v>
      </c>
      <c r="K295" t="s">
        <v>841</v>
      </c>
      <c r="L295" t="s">
        <v>329</v>
      </c>
      <c r="N295" t="s">
        <v>842</v>
      </c>
      <c r="O295" t="s">
        <v>850</v>
      </c>
      <c r="P295">
        <v>410</v>
      </c>
      <c r="Q295" t="b">
        <v>0</v>
      </c>
      <c r="R295" t="b">
        <v>1</v>
      </c>
      <c r="S295" t="b">
        <v>1</v>
      </c>
      <c r="T295" t="s">
        <v>7</v>
      </c>
      <c r="U295" t="b">
        <v>0</v>
      </c>
      <c r="V295" t="b">
        <v>0</v>
      </c>
      <c r="W295">
        <v>943</v>
      </c>
      <c r="X295">
        <v>0</v>
      </c>
      <c r="Y295">
        <v>0</v>
      </c>
      <c r="Z295">
        <v>1</v>
      </c>
      <c r="AA295">
        <v>0.748</v>
      </c>
      <c r="AB295">
        <v>0.85399999999999998</v>
      </c>
      <c r="AC295">
        <v>0.9</v>
      </c>
      <c r="AD295">
        <v>5</v>
      </c>
      <c r="AE295">
        <v>2</v>
      </c>
      <c r="AF295">
        <v>2.5129999999999999</v>
      </c>
      <c r="AG295">
        <v>16782.11</v>
      </c>
      <c r="AH295" t="s">
        <v>445</v>
      </c>
      <c r="AI295" t="s">
        <v>844</v>
      </c>
    </row>
    <row r="296" spans="1:35" x14ac:dyDescent="0.55000000000000004">
      <c r="A296">
        <v>944</v>
      </c>
      <c r="B296">
        <v>15.348000000000001</v>
      </c>
      <c r="C296">
        <v>790.59784000000002</v>
      </c>
      <c r="D296" t="s">
        <v>840</v>
      </c>
      <c r="E296" t="s">
        <v>1</v>
      </c>
      <c r="F296" t="s">
        <v>2</v>
      </c>
      <c r="G296">
        <v>0.23</v>
      </c>
      <c r="H296" t="b">
        <v>1</v>
      </c>
      <c r="I296">
        <v>10.17</v>
      </c>
      <c r="J296">
        <v>790.59667999999999</v>
      </c>
      <c r="K296" t="s">
        <v>841</v>
      </c>
      <c r="L296" t="s">
        <v>329</v>
      </c>
      <c r="N296" t="s">
        <v>842</v>
      </c>
      <c r="O296" t="s">
        <v>854</v>
      </c>
      <c r="P296">
        <v>410</v>
      </c>
      <c r="Q296" t="b">
        <v>0</v>
      </c>
      <c r="R296" t="b">
        <v>1</v>
      </c>
      <c r="S296" t="b">
        <v>1</v>
      </c>
      <c r="T296" t="s">
        <v>7</v>
      </c>
      <c r="U296" t="b">
        <v>0</v>
      </c>
      <c r="V296" t="b">
        <v>0</v>
      </c>
      <c r="W296">
        <v>944</v>
      </c>
      <c r="X296">
        <v>0</v>
      </c>
      <c r="Y296">
        <v>0</v>
      </c>
      <c r="Z296">
        <v>0.99</v>
      </c>
      <c r="AA296">
        <v>0.74099999999999999</v>
      </c>
      <c r="AB296">
        <v>0.85499999999999998</v>
      </c>
      <c r="AC296">
        <v>0.90100000000000002</v>
      </c>
      <c r="AD296">
        <v>5</v>
      </c>
      <c r="AE296">
        <v>2</v>
      </c>
      <c r="AF296">
        <v>2.5089999999999999</v>
      </c>
      <c r="AG296">
        <v>8587.33</v>
      </c>
      <c r="AH296" t="s">
        <v>522</v>
      </c>
      <c r="AI296" t="s">
        <v>845</v>
      </c>
    </row>
    <row r="297" spans="1:35" x14ac:dyDescent="0.55000000000000004">
      <c r="A297">
        <v>961</v>
      </c>
      <c r="B297">
        <v>14.92</v>
      </c>
      <c r="C297">
        <v>792.55298000000005</v>
      </c>
      <c r="D297" t="s">
        <v>846</v>
      </c>
      <c r="E297" t="s">
        <v>32</v>
      </c>
      <c r="F297" t="s">
        <v>2</v>
      </c>
      <c r="G297">
        <v>0.23</v>
      </c>
      <c r="H297" t="b">
        <v>1</v>
      </c>
      <c r="I297">
        <v>10.134</v>
      </c>
      <c r="J297">
        <v>792.55487000000005</v>
      </c>
      <c r="K297" t="s">
        <v>847</v>
      </c>
      <c r="L297" t="s">
        <v>848</v>
      </c>
      <c r="N297" t="s">
        <v>849</v>
      </c>
      <c r="O297" t="s">
        <v>858</v>
      </c>
      <c r="P297">
        <v>410</v>
      </c>
      <c r="Q297" t="b">
        <v>0</v>
      </c>
      <c r="R297" t="b">
        <v>1</v>
      </c>
      <c r="S297" t="b">
        <v>1</v>
      </c>
      <c r="T297" t="s">
        <v>7</v>
      </c>
      <c r="U297" t="b">
        <v>0</v>
      </c>
      <c r="V297" t="b">
        <v>0</v>
      </c>
      <c r="W297">
        <v>961</v>
      </c>
      <c r="X297">
        <v>0</v>
      </c>
      <c r="Y297">
        <v>0</v>
      </c>
      <c r="Z297">
        <v>0.98</v>
      </c>
      <c r="AA297">
        <v>0.65900000000000003</v>
      </c>
      <c r="AB297">
        <v>0.66</v>
      </c>
      <c r="AC297">
        <v>0.93400000000000005</v>
      </c>
      <c r="AD297">
        <v>5</v>
      </c>
      <c r="AE297">
        <v>2</v>
      </c>
      <c r="AF297">
        <v>2.4569999999999999</v>
      </c>
      <c r="AG297">
        <v>867.57</v>
      </c>
      <c r="AH297" t="s">
        <v>450</v>
      </c>
      <c r="AI297" t="s">
        <v>851</v>
      </c>
    </row>
    <row r="298" spans="1:35" x14ac:dyDescent="0.55000000000000004">
      <c r="A298">
        <v>962</v>
      </c>
      <c r="B298">
        <v>13.426</v>
      </c>
      <c r="C298">
        <v>792.55304000000001</v>
      </c>
      <c r="D298" t="s">
        <v>852</v>
      </c>
      <c r="E298" t="s">
        <v>32</v>
      </c>
      <c r="F298" t="s">
        <v>2</v>
      </c>
      <c r="G298">
        <v>0.31</v>
      </c>
      <c r="H298" t="b">
        <v>1</v>
      </c>
      <c r="I298">
        <v>9.4090000000000007</v>
      </c>
      <c r="J298">
        <v>792.55487000000005</v>
      </c>
      <c r="K298" t="s">
        <v>847</v>
      </c>
      <c r="L298" t="s">
        <v>209</v>
      </c>
      <c r="N298" t="s">
        <v>853</v>
      </c>
      <c r="O298" t="s">
        <v>863</v>
      </c>
      <c r="P298">
        <v>410</v>
      </c>
      <c r="Q298" t="b">
        <v>0</v>
      </c>
      <c r="R298" t="b">
        <v>1</v>
      </c>
      <c r="S298" t="b">
        <v>1</v>
      </c>
      <c r="T298" t="s">
        <v>7</v>
      </c>
      <c r="U298" t="b">
        <v>0</v>
      </c>
      <c r="V298" t="b">
        <v>0</v>
      </c>
      <c r="W298">
        <v>962</v>
      </c>
      <c r="X298">
        <v>0</v>
      </c>
      <c r="Y298">
        <v>0</v>
      </c>
      <c r="Z298">
        <v>1</v>
      </c>
      <c r="AA298">
        <v>0.53800000000000003</v>
      </c>
      <c r="AB298">
        <v>0.58399999999999996</v>
      </c>
      <c r="AC298">
        <v>0.94099999999999995</v>
      </c>
      <c r="AD298">
        <v>5</v>
      </c>
      <c r="AE298">
        <v>2</v>
      </c>
      <c r="AF298">
        <v>2.4289999999999998</v>
      </c>
      <c r="AG298">
        <v>3076.22</v>
      </c>
      <c r="AH298" t="s">
        <v>454</v>
      </c>
      <c r="AI298" t="s">
        <v>855</v>
      </c>
    </row>
    <row r="299" spans="1:35" x14ac:dyDescent="0.55000000000000004">
      <c r="A299">
        <v>965</v>
      </c>
      <c r="B299">
        <v>14.997</v>
      </c>
      <c r="C299">
        <v>792.57457999999997</v>
      </c>
      <c r="D299" t="s">
        <v>856</v>
      </c>
      <c r="E299" t="s">
        <v>1</v>
      </c>
      <c r="F299" t="s">
        <v>2</v>
      </c>
      <c r="G299">
        <v>0.31</v>
      </c>
      <c r="H299" t="b">
        <v>1</v>
      </c>
      <c r="I299">
        <v>9.859</v>
      </c>
      <c r="J299">
        <v>792.57599000000005</v>
      </c>
      <c r="K299" t="s">
        <v>410</v>
      </c>
      <c r="L299" t="s">
        <v>660</v>
      </c>
      <c r="N299" t="s">
        <v>857</v>
      </c>
      <c r="O299" t="s">
        <v>868</v>
      </c>
      <c r="P299">
        <v>410</v>
      </c>
      <c r="Q299" t="b">
        <v>0</v>
      </c>
      <c r="R299" t="b">
        <v>1</v>
      </c>
      <c r="S299" t="b">
        <v>1</v>
      </c>
      <c r="T299" t="s">
        <v>7</v>
      </c>
      <c r="U299" t="b">
        <v>0</v>
      </c>
      <c r="V299" t="b">
        <v>0</v>
      </c>
      <c r="W299">
        <v>965</v>
      </c>
      <c r="X299">
        <v>0</v>
      </c>
      <c r="Y299">
        <v>0</v>
      </c>
      <c r="Z299">
        <v>1</v>
      </c>
      <c r="AA299">
        <v>0.66</v>
      </c>
      <c r="AB299">
        <v>0.75900000000000001</v>
      </c>
      <c r="AC299">
        <v>0.86099999999999999</v>
      </c>
      <c r="AD299">
        <v>6</v>
      </c>
      <c r="AE299">
        <v>2</v>
      </c>
      <c r="AF299">
        <v>2.456</v>
      </c>
      <c r="AG299">
        <v>729.91</v>
      </c>
      <c r="AH299" t="s">
        <v>450</v>
      </c>
      <c r="AI299" t="s">
        <v>859</v>
      </c>
    </row>
    <row r="300" spans="1:35" x14ac:dyDescent="0.55000000000000004">
      <c r="A300">
        <v>971</v>
      </c>
      <c r="B300">
        <v>16.303000000000001</v>
      </c>
      <c r="C300">
        <v>792.61072000000001</v>
      </c>
      <c r="D300" t="s">
        <v>860</v>
      </c>
      <c r="E300" t="s">
        <v>1</v>
      </c>
      <c r="F300" t="s">
        <v>2</v>
      </c>
      <c r="G300">
        <v>0.46</v>
      </c>
      <c r="H300" t="b">
        <v>1</v>
      </c>
      <c r="I300">
        <v>11.385999999999999</v>
      </c>
      <c r="J300">
        <v>792.61243000000002</v>
      </c>
      <c r="K300" t="s">
        <v>861</v>
      </c>
      <c r="L300" t="s">
        <v>329</v>
      </c>
      <c r="N300" t="s">
        <v>862</v>
      </c>
      <c r="O300" t="s">
        <v>872</v>
      </c>
      <c r="P300">
        <v>410</v>
      </c>
      <c r="Q300" t="b">
        <v>0</v>
      </c>
      <c r="R300" t="b">
        <v>1</v>
      </c>
      <c r="S300" t="b">
        <v>1</v>
      </c>
      <c r="T300" t="s">
        <v>7</v>
      </c>
      <c r="U300" t="b">
        <v>0</v>
      </c>
      <c r="V300" t="b">
        <v>0</v>
      </c>
      <c r="W300">
        <v>971</v>
      </c>
      <c r="X300">
        <v>0</v>
      </c>
      <c r="Y300">
        <v>0</v>
      </c>
      <c r="Z300">
        <v>0.98</v>
      </c>
      <c r="AA300">
        <v>0.73199999999999998</v>
      </c>
      <c r="AB300">
        <v>0.86799999999999999</v>
      </c>
      <c r="AC300">
        <v>0.90200000000000002</v>
      </c>
      <c r="AD300">
        <v>5</v>
      </c>
      <c r="AE300">
        <v>2</v>
      </c>
      <c r="AF300">
        <v>2.504</v>
      </c>
      <c r="AG300">
        <v>1028.07</v>
      </c>
      <c r="AH300" t="s">
        <v>450</v>
      </c>
      <c r="AI300" t="s">
        <v>864</v>
      </c>
    </row>
    <row r="301" spans="1:35" x14ac:dyDescent="0.55000000000000004">
      <c r="A301">
        <v>1001</v>
      </c>
      <c r="B301">
        <v>14.584</v>
      </c>
      <c r="C301">
        <v>794.56885</v>
      </c>
      <c r="D301" t="s">
        <v>865</v>
      </c>
      <c r="E301" t="s">
        <v>32</v>
      </c>
      <c r="F301" t="s">
        <v>2</v>
      </c>
      <c r="G301">
        <v>0.23</v>
      </c>
      <c r="H301" t="b">
        <v>1</v>
      </c>
      <c r="I301">
        <v>9.6069999999999993</v>
      </c>
      <c r="J301">
        <v>794.57050000000004</v>
      </c>
      <c r="K301" t="s">
        <v>866</v>
      </c>
      <c r="L301" t="s">
        <v>209</v>
      </c>
      <c r="N301" t="s">
        <v>867</v>
      </c>
      <c r="O301" t="s">
        <v>868</v>
      </c>
      <c r="P301">
        <v>410</v>
      </c>
      <c r="Q301" t="b">
        <v>0</v>
      </c>
      <c r="R301" t="b">
        <v>1</v>
      </c>
      <c r="S301" t="b">
        <v>1</v>
      </c>
      <c r="T301" t="s">
        <v>7</v>
      </c>
      <c r="U301" t="b">
        <v>0</v>
      </c>
      <c r="V301" t="b">
        <v>0</v>
      </c>
      <c r="W301">
        <v>1001</v>
      </c>
      <c r="X301">
        <v>0</v>
      </c>
      <c r="Y301">
        <v>0</v>
      </c>
      <c r="Z301">
        <v>0.97</v>
      </c>
      <c r="AA301">
        <v>0.81399999999999995</v>
      </c>
      <c r="AB301">
        <v>0.82899999999999996</v>
      </c>
      <c r="AC301">
        <v>0.93400000000000005</v>
      </c>
      <c r="AD301">
        <v>7</v>
      </c>
      <c r="AE301">
        <v>2</v>
      </c>
      <c r="AF301">
        <v>2.524</v>
      </c>
      <c r="AG301">
        <v>12591.88</v>
      </c>
      <c r="AH301" t="s">
        <v>452</v>
      </c>
      <c r="AI301" t="s">
        <v>869</v>
      </c>
    </row>
    <row r="302" spans="1:35" x14ac:dyDescent="0.55000000000000004">
      <c r="A302">
        <v>1002</v>
      </c>
      <c r="B302">
        <v>14.025</v>
      </c>
      <c r="C302">
        <v>794.56890999999996</v>
      </c>
      <c r="D302" t="s">
        <v>870</v>
      </c>
      <c r="E302" t="s">
        <v>32</v>
      </c>
      <c r="F302" t="s">
        <v>2</v>
      </c>
      <c r="G302">
        <v>0.23</v>
      </c>
      <c r="H302" t="b">
        <v>1</v>
      </c>
      <c r="I302">
        <v>9.8239999999999998</v>
      </c>
      <c r="J302">
        <v>794.57050000000004</v>
      </c>
      <c r="K302" t="s">
        <v>866</v>
      </c>
      <c r="L302" t="s">
        <v>209</v>
      </c>
      <c r="N302" t="s">
        <v>871</v>
      </c>
      <c r="O302" t="s">
        <v>877</v>
      </c>
      <c r="P302">
        <v>410</v>
      </c>
      <c r="Q302" t="b">
        <v>0</v>
      </c>
      <c r="R302" t="b">
        <v>1</v>
      </c>
      <c r="S302" t="b">
        <v>1</v>
      </c>
      <c r="T302" t="s">
        <v>7</v>
      </c>
      <c r="U302" t="b">
        <v>0</v>
      </c>
      <c r="V302" t="b">
        <v>0</v>
      </c>
      <c r="W302">
        <v>1002</v>
      </c>
      <c r="X302">
        <v>0</v>
      </c>
      <c r="Y302">
        <v>0</v>
      </c>
      <c r="Z302">
        <v>0.96</v>
      </c>
      <c r="AA302">
        <v>0.81</v>
      </c>
      <c r="AB302">
        <v>0.85</v>
      </c>
      <c r="AC302">
        <v>0.92100000000000004</v>
      </c>
      <c r="AD302">
        <v>5</v>
      </c>
      <c r="AE302">
        <v>2</v>
      </c>
      <c r="AF302">
        <v>2.5179999999999998</v>
      </c>
      <c r="AG302">
        <v>408.86</v>
      </c>
      <c r="AH302" t="s">
        <v>450</v>
      </c>
      <c r="AI302" t="s">
        <v>873</v>
      </c>
    </row>
    <row r="303" spans="1:35" x14ac:dyDescent="0.55000000000000004">
      <c r="A303">
        <v>1003</v>
      </c>
      <c r="B303">
        <v>14.654</v>
      </c>
      <c r="C303">
        <v>794.56890999999996</v>
      </c>
      <c r="D303" t="s">
        <v>865</v>
      </c>
      <c r="E303" t="s">
        <v>32</v>
      </c>
      <c r="F303" t="s">
        <v>2</v>
      </c>
      <c r="G303">
        <v>0.23</v>
      </c>
      <c r="H303" t="b">
        <v>1</v>
      </c>
      <c r="I303">
        <v>9.6069999999999993</v>
      </c>
      <c r="J303">
        <v>794.57050000000004</v>
      </c>
      <c r="K303" t="s">
        <v>866</v>
      </c>
      <c r="L303" t="s">
        <v>209</v>
      </c>
      <c r="N303" t="s">
        <v>867</v>
      </c>
      <c r="O303" t="s">
        <v>882</v>
      </c>
      <c r="P303">
        <v>410</v>
      </c>
      <c r="Q303" t="b">
        <v>0</v>
      </c>
      <c r="R303" t="b">
        <v>1</v>
      </c>
      <c r="S303" t="b">
        <v>1</v>
      </c>
      <c r="T303" t="s">
        <v>7</v>
      </c>
      <c r="U303" t="b">
        <v>0</v>
      </c>
      <c r="V303" t="b">
        <v>0</v>
      </c>
      <c r="W303">
        <v>1003</v>
      </c>
      <c r="X303">
        <v>0</v>
      </c>
      <c r="Y303">
        <v>0</v>
      </c>
      <c r="Z303">
        <v>0.98</v>
      </c>
      <c r="AA303">
        <v>0.875</v>
      </c>
      <c r="AB303">
        <v>0.873</v>
      </c>
      <c r="AC303">
        <v>0.92400000000000004</v>
      </c>
      <c r="AD303">
        <v>7</v>
      </c>
      <c r="AE303">
        <v>2</v>
      </c>
      <c r="AF303">
        <v>2.5449999999999999</v>
      </c>
      <c r="AG303">
        <v>11508.88</v>
      </c>
      <c r="AH303" t="s">
        <v>450</v>
      </c>
      <c r="AI303" t="s">
        <v>874</v>
      </c>
    </row>
    <row r="304" spans="1:35" x14ac:dyDescent="0.55000000000000004">
      <c r="A304">
        <v>1004</v>
      </c>
      <c r="B304">
        <v>15.879</v>
      </c>
      <c r="C304">
        <v>794.56952000000001</v>
      </c>
      <c r="D304" t="s">
        <v>875</v>
      </c>
      <c r="E304" t="s">
        <v>32</v>
      </c>
      <c r="F304" t="s">
        <v>2</v>
      </c>
      <c r="G304">
        <v>0.15</v>
      </c>
      <c r="H304" t="b">
        <v>1</v>
      </c>
      <c r="I304">
        <v>9.9710000000000001</v>
      </c>
      <c r="J304">
        <v>794.57050000000004</v>
      </c>
      <c r="K304" t="s">
        <v>866</v>
      </c>
      <c r="L304" t="s">
        <v>209</v>
      </c>
      <c r="N304" t="s">
        <v>876</v>
      </c>
      <c r="O304" t="s">
        <v>886</v>
      </c>
      <c r="P304">
        <v>410</v>
      </c>
      <c r="Q304" t="b">
        <v>0</v>
      </c>
      <c r="R304" t="b">
        <v>1</v>
      </c>
      <c r="S304" t="b">
        <v>1</v>
      </c>
      <c r="T304" t="s">
        <v>7</v>
      </c>
      <c r="U304" t="b">
        <v>0</v>
      </c>
      <c r="V304" t="b">
        <v>0</v>
      </c>
      <c r="W304">
        <v>1004</v>
      </c>
      <c r="X304">
        <v>0</v>
      </c>
      <c r="Y304">
        <v>0</v>
      </c>
      <c r="Z304">
        <v>0.99</v>
      </c>
      <c r="AA304">
        <v>0.49199999999999999</v>
      </c>
      <c r="AB304">
        <v>0.499</v>
      </c>
      <c r="AC304">
        <v>0.877</v>
      </c>
      <c r="AD304">
        <v>3</v>
      </c>
      <c r="AE304">
        <v>2</v>
      </c>
      <c r="AF304">
        <v>2.37</v>
      </c>
      <c r="AG304">
        <v>105.94</v>
      </c>
      <c r="AH304" t="s">
        <v>445</v>
      </c>
      <c r="AI304" t="s">
        <v>878</v>
      </c>
    </row>
    <row r="305" spans="1:75" x14ac:dyDescent="0.55000000000000004">
      <c r="A305">
        <v>1021</v>
      </c>
      <c r="B305">
        <v>14.736000000000001</v>
      </c>
      <c r="C305">
        <v>796.58385999999996</v>
      </c>
      <c r="D305" t="s">
        <v>879</v>
      </c>
      <c r="E305" t="s">
        <v>32</v>
      </c>
      <c r="F305" t="s">
        <v>2</v>
      </c>
      <c r="G305">
        <v>0.15</v>
      </c>
      <c r="H305" t="b">
        <v>1</v>
      </c>
      <c r="I305">
        <v>10.59</v>
      </c>
      <c r="J305">
        <v>796.58618000000001</v>
      </c>
      <c r="K305" t="s">
        <v>880</v>
      </c>
      <c r="L305" t="s">
        <v>209</v>
      </c>
      <c r="N305" t="s">
        <v>881</v>
      </c>
      <c r="O305" t="s">
        <v>890</v>
      </c>
      <c r="P305">
        <v>410</v>
      </c>
      <c r="Q305" t="b">
        <v>0</v>
      </c>
      <c r="R305" t="b">
        <v>1</v>
      </c>
      <c r="S305" t="b">
        <v>1</v>
      </c>
      <c r="T305" t="s">
        <v>7</v>
      </c>
      <c r="U305" t="b">
        <v>0</v>
      </c>
      <c r="V305" t="b">
        <v>0</v>
      </c>
      <c r="W305">
        <v>1021</v>
      </c>
      <c r="X305">
        <v>0</v>
      </c>
      <c r="Y305">
        <v>0</v>
      </c>
      <c r="Z305">
        <v>0.92</v>
      </c>
      <c r="AA305">
        <v>0.63300000000000001</v>
      </c>
      <c r="AB305">
        <v>0.66300000000000003</v>
      </c>
      <c r="AC305">
        <v>0.93400000000000005</v>
      </c>
      <c r="AD305">
        <v>4</v>
      </c>
      <c r="AE305">
        <v>2</v>
      </c>
      <c r="AF305">
        <v>2.4260000000000002</v>
      </c>
      <c r="AG305">
        <v>387.84</v>
      </c>
      <c r="AH305" t="s">
        <v>468</v>
      </c>
      <c r="AI305" t="s">
        <v>883</v>
      </c>
    </row>
    <row r="306" spans="1:75" x14ac:dyDescent="0.55000000000000004">
      <c r="A306">
        <v>1022</v>
      </c>
      <c r="B306">
        <v>16.276</v>
      </c>
      <c r="C306">
        <v>796.58416999999997</v>
      </c>
      <c r="D306" t="s">
        <v>884</v>
      </c>
      <c r="E306" t="s">
        <v>32</v>
      </c>
      <c r="F306" t="s">
        <v>2</v>
      </c>
      <c r="G306">
        <v>0.38</v>
      </c>
      <c r="H306" t="b">
        <v>1</v>
      </c>
      <c r="I306">
        <v>12.061999999999999</v>
      </c>
      <c r="J306">
        <v>796.58618000000001</v>
      </c>
      <c r="K306" t="s">
        <v>880</v>
      </c>
      <c r="L306" t="s">
        <v>139</v>
      </c>
      <c r="N306" t="s">
        <v>885</v>
      </c>
      <c r="O306" t="s">
        <v>890</v>
      </c>
      <c r="P306">
        <v>410</v>
      </c>
      <c r="Q306" t="b">
        <v>0</v>
      </c>
      <c r="R306" t="b">
        <v>1</v>
      </c>
      <c r="S306" t="b">
        <v>1</v>
      </c>
      <c r="T306" t="s">
        <v>7</v>
      </c>
      <c r="U306" t="b">
        <v>0</v>
      </c>
      <c r="V306" t="b">
        <v>0</v>
      </c>
      <c r="W306">
        <v>1022</v>
      </c>
      <c r="X306">
        <v>0</v>
      </c>
      <c r="Y306">
        <v>0</v>
      </c>
      <c r="Z306">
        <v>0.98</v>
      </c>
      <c r="AA306">
        <v>0.223</v>
      </c>
      <c r="AB306">
        <v>0.32700000000000001</v>
      </c>
      <c r="AC306">
        <v>0.91900000000000004</v>
      </c>
      <c r="AD306">
        <v>3</v>
      </c>
      <c r="AE306">
        <v>2</v>
      </c>
      <c r="AF306">
        <v>2.2879999999999998</v>
      </c>
      <c r="AG306">
        <v>186.29</v>
      </c>
      <c r="AH306" t="s">
        <v>522</v>
      </c>
      <c r="AI306" t="s">
        <v>887</v>
      </c>
    </row>
    <row r="307" spans="1:75" x14ac:dyDescent="0.55000000000000004">
      <c r="A307">
        <v>1023</v>
      </c>
      <c r="B307">
        <v>15.105</v>
      </c>
      <c r="C307">
        <v>796.58434999999997</v>
      </c>
      <c r="D307" t="s">
        <v>888</v>
      </c>
      <c r="E307" t="s">
        <v>32</v>
      </c>
      <c r="F307" t="s">
        <v>2</v>
      </c>
      <c r="G307">
        <v>0.46</v>
      </c>
      <c r="H307" t="b">
        <v>1</v>
      </c>
      <c r="I307">
        <v>11.403</v>
      </c>
      <c r="J307">
        <v>796.58618000000001</v>
      </c>
      <c r="K307" t="s">
        <v>880</v>
      </c>
      <c r="L307" t="s">
        <v>209</v>
      </c>
      <c r="N307" t="s">
        <v>889</v>
      </c>
      <c r="O307" t="s">
        <v>896</v>
      </c>
      <c r="P307">
        <v>410</v>
      </c>
      <c r="Q307" t="b">
        <v>0</v>
      </c>
      <c r="R307" t="b">
        <v>1</v>
      </c>
      <c r="S307" t="b">
        <v>1</v>
      </c>
      <c r="T307" t="s">
        <v>7</v>
      </c>
      <c r="U307" t="b">
        <v>0</v>
      </c>
      <c r="V307" t="b">
        <v>0</v>
      </c>
      <c r="W307">
        <v>1023</v>
      </c>
      <c r="X307">
        <v>0</v>
      </c>
      <c r="Y307">
        <v>0</v>
      </c>
      <c r="Z307">
        <v>0.99</v>
      </c>
      <c r="AA307">
        <v>0.89600000000000002</v>
      </c>
      <c r="AB307">
        <v>0.90500000000000003</v>
      </c>
      <c r="AC307">
        <v>0.93400000000000005</v>
      </c>
      <c r="AD307">
        <v>6</v>
      </c>
      <c r="AE307">
        <v>2</v>
      </c>
      <c r="AF307">
        <v>2.569</v>
      </c>
      <c r="AG307">
        <v>8239.39</v>
      </c>
      <c r="AH307" t="s">
        <v>454</v>
      </c>
      <c r="AI307" t="s">
        <v>891</v>
      </c>
    </row>
    <row r="308" spans="1:75" x14ac:dyDescent="0.55000000000000004">
      <c r="A308">
        <v>1024</v>
      </c>
      <c r="B308">
        <v>15.448</v>
      </c>
      <c r="C308">
        <v>796.58441000000005</v>
      </c>
      <c r="D308" t="s">
        <v>888</v>
      </c>
      <c r="E308" t="s">
        <v>32</v>
      </c>
      <c r="F308" t="s">
        <v>2</v>
      </c>
      <c r="G308">
        <v>0.38</v>
      </c>
      <c r="H308" t="b">
        <v>1</v>
      </c>
      <c r="I308">
        <v>11.403</v>
      </c>
      <c r="J308">
        <v>796.58618000000001</v>
      </c>
      <c r="K308" t="s">
        <v>880</v>
      </c>
      <c r="L308" t="s">
        <v>209</v>
      </c>
      <c r="N308" t="s">
        <v>889</v>
      </c>
      <c r="O308" t="s">
        <v>901</v>
      </c>
      <c r="P308">
        <v>410</v>
      </c>
      <c r="Q308" t="b">
        <v>0</v>
      </c>
      <c r="R308" t="b">
        <v>1</v>
      </c>
      <c r="S308" t="b">
        <v>1</v>
      </c>
      <c r="T308" t="s">
        <v>7</v>
      </c>
      <c r="U308" t="b">
        <v>0</v>
      </c>
      <c r="V308" t="b">
        <v>0</v>
      </c>
      <c r="W308">
        <v>1024</v>
      </c>
      <c r="X308">
        <v>0</v>
      </c>
      <c r="Y308">
        <v>0</v>
      </c>
      <c r="Z308">
        <v>0.97</v>
      </c>
      <c r="AA308">
        <v>0.61899999999999999</v>
      </c>
      <c r="AB308">
        <v>0.67700000000000005</v>
      </c>
      <c r="AC308">
        <v>0.91300000000000003</v>
      </c>
      <c r="AD308">
        <v>4</v>
      </c>
      <c r="AE308">
        <v>2</v>
      </c>
      <c r="AF308">
        <v>2.4409999999999998</v>
      </c>
      <c r="AG308">
        <v>305.69</v>
      </c>
      <c r="AH308" t="s">
        <v>450</v>
      </c>
      <c r="AI308" t="s">
        <v>892</v>
      </c>
    </row>
    <row r="309" spans="1:75" x14ac:dyDescent="0.55000000000000004">
      <c r="A309">
        <v>1026</v>
      </c>
      <c r="B309">
        <v>17.289000000000001</v>
      </c>
      <c r="C309">
        <v>796.66614000000004</v>
      </c>
      <c r="D309" t="s">
        <v>893</v>
      </c>
      <c r="E309" t="s">
        <v>32</v>
      </c>
      <c r="F309" t="s">
        <v>2</v>
      </c>
      <c r="G309">
        <v>0.38</v>
      </c>
      <c r="H309" t="b">
        <v>1</v>
      </c>
      <c r="I309">
        <v>12.92</v>
      </c>
      <c r="J309">
        <v>796.66718000000003</v>
      </c>
      <c r="K309" t="s">
        <v>894</v>
      </c>
      <c r="L309" t="s">
        <v>650</v>
      </c>
      <c r="N309" t="s">
        <v>895</v>
      </c>
      <c r="O309" t="s">
        <v>906</v>
      </c>
      <c r="P309">
        <v>410</v>
      </c>
      <c r="Q309" t="b">
        <v>0</v>
      </c>
      <c r="R309" t="b">
        <v>1</v>
      </c>
      <c r="S309" t="b">
        <v>1</v>
      </c>
      <c r="T309" t="s">
        <v>7</v>
      </c>
      <c r="U309" t="b">
        <v>0</v>
      </c>
      <c r="V309" t="b">
        <v>0</v>
      </c>
      <c r="W309">
        <v>1026</v>
      </c>
      <c r="X309">
        <v>0</v>
      </c>
      <c r="Y309">
        <v>0</v>
      </c>
      <c r="Z309">
        <v>0.99</v>
      </c>
      <c r="AA309">
        <v>0.39100000000000001</v>
      </c>
      <c r="AB309">
        <v>0.622</v>
      </c>
      <c r="AC309">
        <v>0.878</v>
      </c>
      <c r="AD309">
        <v>5</v>
      </c>
      <c r="AE309">
        <v>2</v>
      </c>
      <c r="AF309">
        <v>2.3740000000000001</v>
      </c>
      <c r="AG309">
        <v>687.23</v>
      </c>
      <c r="AH309" t="s">
        <v>450</v>
      </c>
      <c r="AI309" t="s">
        <v>897</v>
      </c>
    </row>
    <row r="310" spans="1:75" x14ac:dyDescent="0.55000000000000004">
      <c r="A310">
        <v>1043</v>
      </c>
      <c r="B310">
        <v>11.846</v>
      </c>
      <c r="C310">
        <v>798.52808000000005</v>
      </c>
      <c r="D310" t="s">
        <v>898</v>
      </c>
      <c r="E310" t="s">
        <v>1</v>
      </c>
      <c r="F310" t="s">
        <v>2</v>
      </c>
      <c r="G310">
        <v>0.23</v>
      </c>
      <c r="H310" t="b">
        <v>1</v>
      </c>
      <c r="I310">
        <v>8.6739999999999995</v>
      </c>
      <c r="J310">
        <v>798.52910999999995</v>
      </c>
      <c r="K310" t="s">
        <v>899</v>
      </c>
      <c r="L310" t="s">
        <v>660</v>
      </c>
      <c r="N310" t="s">
        <v>900</v>
      </c>
      <c r="O310" t="s">
        <v>910</v>
      </c>
      <c r="P310">
        <v>410</v>
      </c>
      <c r="Q310" t="b">
        <v>0</v>
      </c>
      <c r="R310" t="b">
        <v>1</v>
      </c>
      <c r="S310" t="b">
        <v>1</v>
      </c>
      <c r="T310" t="s">
        <v>7</v>
      </c>
      <c r="U310" t="b">
        <v>0</v>
      </c>
      <c r="V310" t="b">
        <v>0</v>
      </c>
      <c r="W310">
        <v>1043</v>
      </c>
      <c r="X310">
        <v>0</v>
      </c>
      <c r="Y310">
        <v>0</v>
      </c>
      <c r="Z310">
        <v>0.98</v>
      </c>
      <c r="AA310">
        <v>0.68799999999999994</v>
      </c>
      <c r="AB310">
        <v>0.78400000000000003</v>
      </c>
      <c r="AC310">
        <v>0.91400000000000003</v>
      </c>
      <c r="AD310">
        <v>7</v>
      </c>
      <c r="AE310">
        <v>2</v>
      </c>
      <c r="AF310">
        <v>2.484</v>
      </c>
      <c r="AG310">
        <v>1347.39</v>
      </c>
      <c r="AH310" t="s">
        <v>450</v>
      </c>
      <c r="AI310" t="s">
        <v>902</v>
      </c>
    </row>
    <row r="311" spans="1:75" x14ac:dyDescent="0.55000000000000004">
      <c r="A311">
        <v>1044</v>
      </c>
      <c r="B311">
        <v>13.997</v>
      </c>
      <c r="C311">
        <v>798.54088999999999</v>
      </c>
      <c r="D311" t="s">
        <v>903</v>
      </c>
      <c r="E311" t="s">
        <v>32</v>
      </c>
      <c r="F311" t="s">
        <v>2</v>
      </c>
      <c r="G311">
        <v>0.38</v>
      </c>
      <c r="H311" t="b">
        <v>1</v>
      </c>
      <c r="I311">
        <v>9.9120000000000008</v>
      </c>
      <c r="J311">
        <v>798.54431</v>
      </c>
      <c r="K311" t="s">
        <v>904</v>
      </c>
      <c r="L311" t="s">
        <v>124</v>
      </c>
      <c r="N311" t="s">
        <v>905</v>
      </c>
      <c r="O311" t="s">
        <v>915</v>
      </c>
      <c r="P311">
        <v>410</v>
      </c>
      <c r="Q311" t="b">
        <v>0</v>
      </c>
      <c r="R311" t="b">
        <v>1</v>
      </c>
      <c r="S311" t="b">
        <v>1</v>
      </c>
      <c r="T311" t="s">
        <v>7</v>
      </c>
      <c r="U311" t="b">
        <v>0</v>
      </c>
      <c r="V311" t="b">
        <v>0</v>
      </c>
      <c r="W311">
        <v>1044</v>
      </c>
      <c r="X311">
        <v>0</v>
      </c>
      <c r="Y311">
        <v>0</v>
      </c>
      <c r="Z311">
        <v>0.84</v>
      </c>
      <c r="AA311">
        <v>0.437</v>
      </c>
      <c r="AB311">
        <v>0.52900000000000003</v>
      </c>
      <c r="AC311">
        <v>0.94199999999999995</v>
      </c>
      <c r="AD311">
        <v>3</v>
      </c>
      <c r="AE311">
        <v>2</v>
      </c>
      <c r="AF311">
        <v>2.3180000000000001</v>
      </c>
      <c r="AG311">
        <v>108.1</v>
      </c>
      <c r="AH311" t="s">
        <v>468</v>
      </c>
      <c r="AI311" t="s">
        <v>907</v>
      </c>
    </row>
    <row r="312" spans="1:75" x14ac:dyDescent="0.55000000000000004">
      <c r="A312">
        <v>1045</v>
      </c>
      <c r="B312">
        <v>13.457000000000001</v>
      </c>
      <c r="C312">
        <v>798.56341999999995</v>
      </c>
      <c r="D312" t="s">
        <v>908</v>
      </c>
      <c r="E312" t="s">
        <v>1</v>
      </c>
      <c r="F312" t="s">
        <v>2</v>
      </c>
      <c r="G312">
        <v>0.38</v>
      </c>
      <c r="H312" t="b">
        <v>1</v>
      </c>
      <c r="I312">
        <v>9.5589999999999993</v>
      </c>
      <c r="J312">
        <v>798.56542999999999</v>
      </c>
      <c r="K312" t="s">
        <v>462</v>
      </c>
      <c r="L312" t="s">
        <v>329</v>
      </c>
      <c r="N312" t="s">
        <v>909</v>
      </c>
      <c r="O312" t="s">
        <v>920</v>
      </c>
      <c r="P312">
        <v>420</v>
      </c>
      <c r="Q312" t="b">
        <v>0</v>
      </c>
      <c r="R312" t="b">
        <v>1</v>
      </c>
      <c r="S312" t="b">
        <v>1</v>
      </c>
      <c r="T312" t="s">
        <v>7</v>
      </c>
      <c r="U312" t="b">
        <v>0</v>
      </c>
      <c r="V312" t="b">
        <v>0</v>
      </c>
      <c r="W312">
        <v>1045</v>
      </c>
      <c r="X312">
        <v>0</v>
      </c>
      <c r="Y312">
        <v>0</v>
      </c>
      <c r="Z312">
        <v>0.98</v>
      </c>
      <c r="AA312">
        <v>0.42699999999999999</v>
      </c>
      <c r="AB312">
        <v>0.60399999999999998</v>
      </c>
      <c r="AC312">
        <v>0.84599999999999997</v>
      </c>
      <c r="AD312">
        <v>3</v>
      </c>
      <c r="AE312">
        <v>2</v>
      </c>
      <c r="AF312">
        <v>2.3570000000000002</v>
      </c>
      <c r="AG312">
        <v>220.24</v>
      </c>
      <c r="AH312" t="s">
        <v>450</v>
      </c>
      <c r="AI312" t="s">
        <v>911</v>
      </c>
    </row>
    <row r="313" spans="1:75" x14ac:dyDescent="0.55000000000000004">
      <c r="A313">
        <v>1046</v>
      </c>
      <c r="B313">
        <v>15.789</v>
      </c>
      <c r="C313">
        <v>798.59991000000002</v>
      </c>
      <c r="D313" t="s">
        <v>912</v>
      </c>
      <c r="E313" t="s">
        <v>32</v>
      </c>
      <c r="F313" t="s">
        <v>2</v>
      </c>
      <c r="G313">
        <v>0.46</v>
      </c>
      <c r="H313" t="b">
        <v>1</v>
      </c>
      <c r="I313">
        <v>12.005000000000001</v>
      </c>
      <c r="J313">
        <v>798.60181</v>
      </c>
      <c r="K313" t="s">
        <v>913</v>
      </c>
      <c r="L313" t="s">
        <v>209</v>
      </c>
      <c r="N313" t="s">
        <v>914</v>
      </c>
      <c r="Q313" t="b">
        <v>0</v>
      </c>
      <c r="R313" t="b">
        <v>1</v>
      </c>
      <c r="S313" t="b">
        <v>1</v>
      </c>
      <c r="T313" t="s">
        <v>7</v>
      </c>
      <c r="U313" t="b">
        <v>0</v>
      </c>
      <c r="V313" t="b">
        <v>0</v>
      </c>
      <c r="W313">
        <v>1046</v>
      </c>
      <c r="X313">
        <v>0</v>
      </c>
      <c r="Y313">
        <v>0</v>
      </c>
      <c r="Z313">
        <v>0.97</v>
      </c>
      <c r="AA313">
        <v>0.77400000000000002</v>
      </c>
      <c r="AB313">
        <v>0.81499999999999995</v>
      </c>
      <c r="AC313">
        <v>0.93300000000000005</v>
      </c>
      <c r="AD313">
        <v>5</v>
      </c>
      <c r="AE313">
        <v>2</v>
      </c>
      <c r="AF313">
        <v>2.5099999999999998</v>
      </c>
      <c r="AG313">
        <v>760.63</v>
      </c>
      <c r="AH313" t="s">
        <v>450</v>
      </c>
      <c r="AI313" t="s">
        <v>916</v>
      </c>
    </row>
    <row r="314" spans="1:75" x14ac:dyDescent="0.55000000000000004">
      <c r="A314">
        <v>1053</v>
      </c>
      <c r="B314">
        <v>13.426</v>
      </c>
      <c r="C314">
        <v>799.59496999999999</v>
      </c>
      <c r="D314" t="s">
        <v>917</v>
      </c>
      <c r="E314" t="s">
        <v>1</v>
      </c>
      <c r="F314" t="s">
        <v>2</v>
      </c>
      <c r="G314">
        <v>0.38</v>
      </c>
      <c r="H314" t="b">
        <v>1</v>
      </c>
      <c r="I314">
        <v>9.1660000000000004</v>
      </c>
      <c r="J314">
        <v>799.59711000000004</v>
      </c>
      <c r="K314" t="s">
        <v>918</v>
      </c>
      <c r="L314" t="s">
        <v>181</v>
      </c>
      <c r="N314" t="s">
        <v>919</v>
      </c>
      <c r="Q314" t="b">
        <v>0</v>
      </c>
      <c r="R314" t="b">
        <v>1</v>
      </c>
      <c r="S314" t="b">
        <v>1</v>
      </c>
      <c r="T314" t="s">
        <v>7</v>
      </c>
      <c r="U314" t="b">
        <v>0</v>
      </c>
      <c r="V314" t="b">
        <v>0</v>
      </c>
      <c r="W314">
        <v>1053</v>
      </c>
      <c r="X314">
        <v>0</v>
      </c>
      <c r="Y314">
        <v>0</v>
      </c>
      <c r="Z314">
        <v>0.98</v>
      </c>
      <c r="AA314">
        <v>0.55900000000000005</v>
      </c>
      <c r="AB314">
        <v>0.71299999999999997</v>
      </c>
      <c r="AC314">
        <v>0.91700000000000004</v>
      </c>
      <c r="AD314">
        <v>3</v>
      </c>
      <c r="AE314">
        <v>1</v>
      </c>
      <c r="AF314">
        <v>1.7989999999999999</v>
      </c>
      <c r="AG314">
        <v>422.74</v>
      </c>
      <c r="AH314" t="s">
        <v>450</v>
      </c>
      <c r="AI314" t="s">
        <v>921</v>
      </c>
    </row>
    <row r="317" spans="1:75" x14ac:dyDescent="0.55000000000000004">
      <c r="A317" s="5" t="s">
        <v>922</v>
      </c>
    </row>
    <row r="318" spans="1:75" x14ac:dyDescent="0.55000000000000004">
      <c r="O318" t="s">
        <v>926</v>
      </c>
      <c r="P318">
        <v>410</v>
      </c>
    </row>
    <row r="319" spans="1:75" x14ac:dyDescent="0.55000000000000004">
      <c r="O319" t="s">
        <v>932</v>
      </c>
      <c r="P319">
        <v>410</v>
      </c>
    </row>
    <row r="320" spans="1:75" x14ac:dyDescent="0.55000000000000004">
      <c r="A320">
        <v>678</v>
      </c>
      <c r="B320">
        <v>11.821999999999999</v>
      </c>
      <c r="C320">
        <v>800.53668000000005</v>
      </c>
      <c r="D320" t="s">
        <v>923</v>
      </c>
      <c r="E320" t="s">
        <v>1</v>
      </c>
      <c r="F320" t="s">
        <v>2</v>
      </c>
      <c r="G320">
        <v>0.15</v>
      </c>
      <c r="H320" t="b">
        <v>1</v>
      </c>
      <c r="I320">
        <v>9.1110000000000007</v>
      </c>
      <c r="J320">
        <v>800.54467999999997</v>
      </c>
      <c r="K320" t="s">
        <v>924</v>
      </c>
      <c r="L320" t="s">
        <v>660</v>
      </c>
      <c r="N320" t="s">
        <v>925</v>
      </c>
      <c r="O320" t="s">
        <v>938</v>
      </c>
      <c r="P320">
        <v>410</v>
      </c>
      <c r="Q320" t="b">
        <v>0</v>
      </c>
      <c r="R320" t="b">
        <v>1</v>
      </c>
      <c r="S320" t="b">
        <v>1</v>
      </c>
      <c r="T320" t="s">
        <v>7</v>
      </c>
      <c r="U320" t="b">
        <v>0</v>
      </c>
      <c r="V320" t="b">
        <v>0</v>
      </c>
      <c r="W320">
        <v>678</v>
      </c>
      <c r="X320">
        <v>0</v>
      </c>
      <c r="Y320">
        <v>0</v>
      </c>
      <c r="Z320">
        <v>0.62</v>
      </c>
      <c r="AA320">
        <v>0.28399999999999997</v>
      </c>
      <c r="AB320">
        <v>0.42</v>
      </c>
      <c r="AC320">
        <v>0.88600000000000001</v>
      </c>
      <c r="AD320">
        <v>3</v>
      </c>
      <c r="AE320">
        <v>2</v>
      </c>
      <c r="AF320">
        <v>2.1269999999999998</v>
      </c>
      <c r="AG320">
        <v>328.49</v>
      </c>
      <c r="AH320" t="s">
        <v>927</v>
      </c>
      <c r="AI320" t="s">
        <v>928</v>
      </c>
      <c r="AJ320" t="s">
        <v>929</v>
      </c>
      <c r="AK320">
        <v>8822</v>
      </c>
      <c r="AL320">
        <v>0</v>
      </c>
      <c r="AM320">
        <v>0</v>
      </c>
      <c r="AN320">
        <v>0</v>
      </c>
      <c r="AO320">
        <v>0</v>
      </c>
      <c r="AP320">
        <v>95980</v>
      </c>
      <c r="AQ320">
        <v>18150</v>
      </c>
      <c r="AR320">
        <v>47770</v>
      </c>
      <c r="AS320">
        <v>57850</v>
      </c>
      <c r="AT320">
        <v>58352</v>
      </c>
      <c r="AU320">
        <v>0</v>
      </c>
      <c r="AV320">
        <v>0</v>
      </c>
      <c r="AW320">
        <v>0</v>
      </c>
      <c r="AX320">
        <v>8822.0625</v>
      </c>
      <c r="AY320">
        <v>0</v>
      </c>
      <c r="AZ320">
        <v>0</v>
      </c>
      <c r="BA320">
        <v>0</v>
      </c>
      <c r="BB320">
        <v>0</v>
      </c>
      <c r="BC320">
        <v>95979.5625</v>
      </c>
      <c r="BD320">
        <v>18150</v>
      </c>
      <c r="BE320">
        <v>47770.125</v>
      </c>
      <c r="BF320">
        <v>57849.8125</v>
      </c>
      <c r="BG320">
        <v>58352.0625</v>
      </c>
      <c r="BH320">
        <v>0</v>
      </c>
      <c r="BI320">
        <v>0</v>
      </c>
      <c r="BJ320">
        <v>0</v>
      </c>
      <c r="BK320">
        <v>0</v>
      </c>
      <c r="BL320">
        <v>0</v>
      </c>
      <c r="BM320">
        <v>0</v>
      </c>
      <c r="BN320">
        <v>0</v>
      </c>
      <c r="BO320">
        <v>0</v>
      </c>
      <c r="BP320">
        <v>0</v>
      </c>
      <c r="BQ320">
        <v>0</v>
      </c>
      <c r="BR320">
        <v>0</v>
      </c>
      <c r="BS320">
        <v>0</v>
      </c>
      <c r="BT320">
        <v>0</v>
      </c>
      <c r="BU320">
        <v>0</v>
      </c>
      <c r="BV320">
        <v>0</v>
      </c>
      <c r="BW320">
        <v>0</v>
      </c>
    </row>
    <row r="321" spans="1:75" x14ac:dyDescent="0.55000000000000004">
      <c r="A321">
        <v>684</v>
      </c>
      <c r="B321">
        <v>12.294</v>
      </c>
      <c r="C321">
        <v>800.54540999999995</v>
      </c>
      <c r="D321" t="s">
        <v>930</v>
      </c>
      <c r="E321" t="s">
        <v>1</v>
      </c>
      <c r="F321" t="s">
        <v>2</v>
      </c>
      <c r="G321">
        <v>0.31</v>
      </c>
      <c r="H321" t="b">
        <v>1</v>
      </c>
      <c r="I321">
        <v>8.6460000000000008</v>
      </c>
      <c r="J321">
        <v>800.54467999999997</v>
      </c>
      <c r="K321" t="s">
        <v>924</v>
      </c>
      <c r="L321" t="s">
        <v>660</v>
      </c>
      <c r="N321" t="s">
        <v>931</v>
      </c>
      <c r="O321" t="s">
        <v>943</v>
      </c>
      <c r="P321">
        <v>410</v>
      </c>
      <c r="Q321" t="b">
        <v>0</v>
      </c>
      <c r="R321" t="b">
        <v>1</v>
      </c>
      <c r="S321" t="b">
        <v>1</v>
      </c>
      <c r="T321" t="s">
        <v>7</v>
      </c>
      <c r="U321" t="b">
        <v>0</v>
      </c>
      <c r="V321" t="b">
        <v>0</v>
      </c>
      <c r="W321">
        <v>684</v>
      </c>
      <c r="X321">
        <v>0</v>
      </c>
      <c r="Y321">
        <v>0</v>
      </c>
      <c r="Z321">
        <v>0.99</v>
      </c>
      <c r="AA321">
        <v>0.84599999999999997</v>
      </c>
      <c r="AB321">
        <v>0.879</v>
      </c>
      <c r="AC321">
        <v>0.90500000000000003</v>
      </c>
      <c r="AD321">
        <v>9</v>
      </c>
      <c r="AE321">
        <v>2</v>
      </c>
      <c r="AF321">
        <v>2.54</v>
      </c>
      <c r="AG321">
        <v>6012.18</v>
      </c>
      <c r="AH321" t="s">
        <v>927</v>
      </c>
      <c r="AI321" t="s">
        <v>933</v>
      </c>
      <c r="AJ321" t="s">
        <v>934</v>
      </c>
      <c r="AK321">
        <v>254290</v>
      </c>
      <c r="AL321">
        <v>0</v>
      </c>
      <c r="AM321">
        <v>0</v>
      </c>
      <c r="AN321">
        <v>0</v>
      </c>
      <c r="AO321">
        <v>0</v>
      </c>
      <c r="AP321">
        <v>3178455</v>
      </c>
      <c r="AQ321">
        <v>1263047</v>
      </c>
      <c r="AR321">
        <v>1516615</v>
      </c>
      <c r="AS321">
        <v>1796885</v>
      </c>
      <c r="AT321">
        <v>743367</v>
      </c>
      <c r="AU321">
        <v>0</v>
      </c>
      <c r="AV321">
        <v>0</v>
      </c>
      <c r="AW321">
        <v>0</v>
      </c>
      <c r="AX321">
        <v>254290.125</v>
      </c>
      <c r="AY321">
        <v>0</v>
      </c>
      <c r="AZ321">
        <v>0</v>
      </c>
      <c r="BA321">
        <v>0</v>
      </c>
      <c r="BB321">
        <v>0</v>
      </c>
      <c r="BC321">
        <v>3178455.1875</v>
      </c>
      <c r="BD321">
        <v>1263046.75</v>
      </c>
      <c r="BE321">
        <v>1516614.625</v>
      </c>
      <c r="BF321">
        <v>1796884.5625</v>
      </c>
      <c r="BG321">
        <v>743367.4375</v>
      </c>
      <c r="BH321">
        <v>0</v>
      </c>
      <c r="BI321">
        <v>0</v>
      </c>
      <c r="BJ321">
        <v>0</v>
      </c>
      <c r="BK321">
        <v>0</v>
      </c>
      <c r="BL321">
        <v>0</v>
      </c>
      <c r="BM321">
        <v>0</v>
      </c>
      <c r="BN321">
        <v>0</v>
      </c>
      <c r="BO321">
        <v>0</v>
      </c>
      <c r="BP321">
        <v>0</v>
      </c>
      <c r="BQ321">
        <v>0</v>
      </c>
      <c r="BR321">
        <v>0</v>
      </c>
      <c r="BS321">
        <v>0</v>
      </c>
      <c r="BT321">
        <v>0</v>
      </c>
      <c r="BU321">
        <v>0</v>
      </c>
      <c r="BV321">
        <v>0</v>
      </c>
      <c r="BW321">
        <v>0</v>
      </c>
    </row>
    <row r="322" spans="1:75" x14ac:dyDescent="0.55000000000000004">
      <c r="A322">
        <v>687</v>
      </c>
      <c r="B322">
        <v>14.975</v>
      </c>
      <c r="C322">
        <v>800.56073000000004</v>
      </c>
      <c r="D322" t="s">
        <v>935</v>
      </c>
      <c r="E322" t="s">
        <v>32</v>
      </c>
      <c r="F322" t="s">
        <v>2</v>
      </c>
      <c r="G322">
        <v>0.38</v>
      </c>
      <c r="H322" t="b">
        <v>1</v>
      </c>
      <c r="I322">
        <v>10.765000000000001</v>
      </c>
      <c r="J322">
        <v>800.56</v>
      </c>
      <c r="K322" t="s">
        <v>936</v>
      </c>
      <c r="L322" t="s">
        <v>124</v>
      </c>
      <c r="N322" t="s">
        <v>937</v>
      </c>
      <c r="O322" t="s">
        <v>943</v>
      </c>
      <c r="P322">
        <v>410</v>
      </c>
      <c r="Q322" t="b">
        <v>0</v>
      </c>
      <c r="R322" t="b">
        <v>1</v>
      </c>
      <c r="S322" t="b">
        <v>1</v>
      </c>
      <c r="T322" t="s">
        <v>7</v>
      </c>
      <c r="U322" t="b">
        <v>0</v>
      </c>
      <c r="V322" t="b">
        <v>0</v>
      </c>
      <c r="W322">
        <v>687</v>
      </c>
      <c r="X322">
        <v>0</v>
      </c>
      <c r="Y322">
        <v>0</v>
      </c>
      <c r="Z322">
        <v>1</v>
      </c>
      <c r="AA322">
        <v>0.44700000000000001</v>
      </c>
      <c r="AB322">
        <v>0.51200000000000001</v>
      </c>
      <c r="AC322">
        <v>0.93400000000000005</v>
      </c>
      <c r="AD322">
        <v>3</v>
      </c>
      <c r="AE322">
        <v>2</v>
      </c>
      <c r="AF322">
        <v>2.391</v>
      </c>
      <c r="AG322">
        <v>472.57</v>
      </c>
      <c r="AH322" t="s">
        <v>927</v>
      </c>
      <c r="AI322" t="s">
        <v>939</v>
      </c>
      <c r="AJ322" t="s">
        <v>940</v>
      </c>
      <c r="AK322">
        <v>0</v>
      </c>
      <c r="AL322">
        <v>0</v>
      </c>
      <c r="AM322">
        <v>0</v>
      </c>
      <c r="AN322">
        <v>0</v>
      </c>
      <c r="AO322">
        <v>0</v>
      </c>
      <c r="AP322">
        <v>141020</v>
      </c>
      <c r="AQ322">
        <v>138566</v>
      </c>
      <c r="AR322">
        <v>73348</v>
      </c>
      <c r="AS322">
        <v>87491</v>
      </c>
      <c r="AT322">
        <v>86779</v>
      </c>
      <c r="AU322">
        <v>0</v>
      </c>
      <c r="AV322">
        <v>0</v>
      </c>
      <c r="AW322">
        <v>0</v>
      </c>
      <c r="AX322">
        <v>0</v>
      </c>
      <c r="AY322">
        <v>0</v>
      </c>
      <c r="AZ322">
        <v>0</v>
      </c>
      <c r="BA322">
        <v>0</v>
      </c>
      <c r="BB322">
        <v>0</v>
      </c>
      <c r="BC322">
        <v>141019.875</v>
      </c>
      <c r="BD322">
        <v>138565.625</v>
      </c>
      <c r="BE322">
        <v>73348.3125</v>
      </c>
      <c r="BF322">
        <v>87491.4375</v>
      </c>
      <c r="BG322">
        <v>86778.875</v>
      </c>
      <c r="BH322">
        <v>0</v>
      </c>
      <c r="BI322">
        <v>0</v>
      </c>
      <c r="BJ322">
        <v>0</v>
      </c>
      <c r="BK322">
        <v>0</v>
      </c>
      <c r="BL322">
        <v>0</v>
      </c>
      <c r="BM322">
        <v>0</v>
      </c>
      <c r="BN322">
        <v>0</v>
      </c>
      <c r="BO322">
        <v>0</v>
      </c>
      <c r="BP322">
        <v>0</v>
      </c>
      <c r="BQ322">
        <v>0</v>
      </c>
      <c r="BR322">
        <v>0</v>
      </c>
      <c r="BS322">
        <v>0</v>
      </c>
      <c r="BT322">
        <v>0</v>
      </c>
      <c r="BU322">
        <v>0</v>
      </c>
      <c r="BV322">
        <v>0</v>
      </c>
      <c r="BW322">
        <v>0</v>
      </c>
    </row>
    <row r="323" spans="1:75" x14ac:dyDescent="0.55000000000000004">
      <c r="A323">
        <v>688</v>
      </c>
      <c r="B323">
        <v>14.708</v>
      </c>
      <c r="C323">
        <v>800.58245999999997</v>
      </c>
      <c r="D323" t="s">
        <v>941</v>
      </c>
      <c r="E323" t="s">
        <v>1</v>
      </c>
      <c r="F323" t="s">
        <v>2</v>
      </c>
      <c r="G323">
        <v>0.31</v>
      </c>
      <c r="H323" t="b">
        <v>1</v>
      </c>
      <c r="I323">
        <v>9.9969999999999999</v>
      </c>
      <c r="J323">
        <v>800.58112000000006</v>
      </c>
      <c r="K323" t="s">
        <v>472</v>
      </c>
      <c r="L323" t="s">
        <v>329</v>
      </c>
      <c r="N323" t="s">
        <v>942</v>
      </c>
      <c r="O323" t="s">
        <v>943</v>
      </c>
      <c r="P323">
        <v>410</v>
      </c>
      <c r="Q323" t="b">
        <v>0</v>
      </c>
      <c r="R323" t="b">
        <v>1</v>
      </c>
      <c r="S323" t="b">
        <v>1</v>
      </c>
      <c r="T323" t="s">
        <v>7</v>
      </c>
      <c r="U323" t="b">
        <v>0</v>
      </c>
      <c r="V323" t="b">
        <v>0</v>
      </c>
      <c r="W323">
        <v>688</v>
      </c>
      <c r="X323">
        <v>0</v>
      </c>
      <c r="Y323">
        <v>0</v>
      </c>
      <c r="Z323">
        <v>0.98</v>
      </c>
      <c r="AA323">
        <v>0.499</v>
      </c>
      <c r="AB323">
        <v>0.60699999999999998</v>
      </c>
      <c r="AC323">
        <v>0.86799999999999999</v>
      </c>
      <c r="AD323">
        <v>4</v>
      </c>
      <c r="AE323">
        <v>2</v>
      </c>
      <c r="AF323">
        <v>2.3839999999999999</v>
      </c>
      <c r="AG323">
        <v>508.42</v>
      </c>
      <c r="AH323" t="s">
        <v>944</v>
      </c>
      <c r="AI323" t="s">
        <v>945</v>
      </c>
      <c r="AJ323" t="s">
        <v>946</v>
      </c>
      <c r="AK323">
        <v>33589</v>
      </c>
      <c r="AL323">
        <v>0</v>
      </c>
      <c r="AM323">
        <v>0</v>
      </c>
      <c r="AN323">
        <v>0</v>
      </c>
      <c r="AO323">
        <v>0</v>
      </c>
      <c r="AP323">
        <v>153789</v>
      </c>
      <c r="AQ323">
        <v>160098</v>
      </c>
      <c r="AR323">
        <v>88742</v>
      </c>
      <c r="AS323">
        <v>28894</v>
      </c>
      <c r="AT323">
        <v>113809</v>
      </c>
      <c r="AU323">
        <v>0</v>
      </c>
      <c r="AV323">
        <v>0</v>
      </c>
      <c r="AW323">
        <v>0</v>
      </c>
      <c r="AX323">
        <v>33588.5625</v>
      </c>
      <c r="AY323">
        <v>0</v>
      </c>
      <c r="AZ323">
        <v>0</v>
      </c>
      <c r="BA323">
        <v>0</v>
      </c>
      <c r="BB323">
        <v>0</v>
      </c>
      <c r="BC323">
        <v>153788.75</v>
      </c>
      <c r="BD323">
        <v>160098.3125</v>
      </c>
      <c r="BE323">
        <v>88741.5625</v>
      </c>
      <c r="BF323">
        <v>28894.125</v>
      </c>
      <c r="BG323">
        <v>113808.625</v>
      </c>
      <c r="BH323">
        <v>0</v>
      </c>
      <c r="BI323">
        <v>0</v>
      </c>
      <c r="BJ323">
        <v>0</v>
      </c>
      <c r="BK323">
        <v>0</v>
      </c>
      <c r="BL323">
        <v>0</v>
      </c>
      <c r="BM323">
        <v>0</v>
      </c>
      <c r="BN323">
        <v>0</v>
      </c>
      <c r="BO323">
        <v>0</v>
      </c>
      <c r="BP323">
        <v>0</v>
      </c>
      <c r="BQ323">
        <v>0</v>
      </c>
      <c r="BR323">
        <v>0</v>
      </c>
      <c r="BS323">
        <v>0</v>
      </c>
      <c r="BT323">
        <v>0</v>
      </c>
      <c r="BU323">
        <v>0</v>
      </c>
      <c r="BV323">
        <v>0</v>
      </c>
      <c r="BW323">
        <v>0</v>
      </c>
    </row>
    <row r="324" spans="1:75" x14ac:dyDescent="0.55000000000000004">
      <c r="A324">
        <v>689</v>
      </c>
      <c r="B324">
        <v>14.547000000000001</v>
      </c>
      <c r="C324">
        <v>800.58252000000005</v>
      </c>
      <c r="D324" t="s">
        <v>941</v>
      </c>
      <c r="E324" t="s">
        <v>1</v>
      </c>
      <c r="F324" t="s">
        <v>2</v>
      </c>
      <c r="G324">
        <v>0.38</v>
      </c>
      <c r="H324" t="b">
        <v>1</v>
      </c>
      <c r="I324">
        <v>9.9969999999999999</v>
      </c>
      <c r="J324">
        <v>800.58112000000006</v>
      </c>
      <c r="K324" t="s">
        <v>472</v>
      </c>
      <c r="L324" t="s">
        <v>329</v>
      </c>
      <c r="N324" t="s">
        <v>942</v>
      </c>
      <c r="O324" t="s">
        <v>954</v>
      </c>
      <c r="P324">
        <v>410</v>
      </c>
      <c r="Q324" t="b">
        <v>0</v>
      </c>
      <c r="R324" t="b">
        <v>1</v>
      </c>
      <c r="S324" t="b">
        <v>1</v>
      </c>
      <c r="T324" t="s">
        <v>7</v>
      </c>
      <c r="U324" t="b">
        <v>0</v>
      </c>
      <c r="V324" t="b">
        <v>0</v>
      </c>
      <c r="W324">
        <v>689</v>
      </c>
      <c r="X324">
        <v>0</v>
      </c>
      <c r="Y324">
        <v>0</v>
      </c>
      <c r="Z324">
        <v>0.98</v>
      </c>
      <c r="AA324">
        <v>0.61399999999999999</v>
      </c>
      <c r="AB324">
        <v>0.76900000000000002</v>
      </c>
      <c r="AC324">
        <v>0.86399999999999999</v>
      </c>
      <c r="AD324">
        <v>4</v>
      </c>
      <c r="AE324">
        <v>2</v>
      </c>
      <c r="AF324">
        <v>2.44</v>
      </c>
      <c r="AG324">
        <v>706.07</v>
      </c>
      <c r="AH324" t="s">
        <v>927</v>
      </c>
      <c r="AI324" t="s">
        <v>947</v>
      </c>
      <c r="AJ324" t="s">
        <v>948</v>
      </c>
      <c r="AK324">
        <v>0</v>
      </c>
      <c r="AL324">
        <v>0</v>
      </c>
      <c r="AM324">
        <v>0</v>
      </c>
      <c r="AN324">
        <v>0</v>
      </c>
      <c r="AO324">
        <v>0</v>
      </c>
      <c r="AP324">
        <v>200584</v>
      </c>
      <c r="AQ324">
        <v>205438</v>
      </c>
      <c r="AR324">
        <v>116869</v>
      </c>
      <c r="AS324">
        <v>134774</v>
      </c>
      <c r="AT324">
        <v>131610</v>
      </c>
      <c r="AU324">
        <v>0</v>
      </c>
      <c r="AV324">
        <v>0</v>
      </c>
      <c r="AW324">
        <v>0</v>
      </c>
      <c r="AX324">
        <v>0</v>
      </c>
      <c r="AY324">
        <v>0</v>
      </c>
      <c r="AZ324">
        <v>0</v>
      </c>
      <c r="BA324">
        <v>0</v>
      </c>
      <c r="BB324">
        <v>0</v>
      </c>
      <c r="BC324">
        <v>200583.625</v>
      </c>
      <c r="BD324">
        <v>205438.3125</v>
      </c>
      <c r="BE324">
        <v>116868.9375</v>
      </c>
      <c r="BF324">
        <v>134773.8125</v>
      </c>
      <c r="BG324">
        <v>131610</v>
      </c>
      <c r="BH324">
        <v>0</v>
      </c>
      <c r="BI324">
        <v>0</v>
      </c>
      <c r="BJ324">
        <v>0</v>
      </c>
      <c r="BK324">
        <v>0</v>
      </c>
      <c r="BL324">
        <v>0</v>
      </c>
      <c r="BM324">
        <v>0</v>
      </c>
      <c r="BN324">
        <v>0</v>
      </c>
      <c r="BO324">
        <v>0</v>
      </c>
      <c r="BP324">
        <v>0</v>
      </c>
      <c r="BQ324">
        <v>0</v>
      </c>
      <c r="BR324">
        <v>0</v>
      </c>
      <c r="BS324">
        <v>0</v>
      </c>
      <c r="BT324">
        <v>0</v>
      </c>
      <c r="BU324">
        <v>0</v>
      </c>
      <c r="BV324">
        <v>0</v>
      </c>
      <c r="BW324">
        <v>0</v>
      </c>
    </row>
    <row r="325" spans="1:75" x14ac:dyDescent="0.55000000000000004">
      <c r="A325">
        <v>690</v>
      </c>
      <c r="B325">
        <v>14.804</v>
      </c>
      <c r="C325">
        <v>800.58276000000001</v>
      </c>
      <c r="D325" t="s">
        <v>941</v>
      </c>
      <c r="E325" t="s">
        <v>1</v>
      </c>
      <c r="F325" t="s">
        <v>2</v>
      </c>
      <c r="G325">
        <v>0.15</v>
      </c>
      <c r="H325" t="b">
        <v>1</v>
      </c>
      <c r="I325">
        <v>9.9969999999999999</v>
      </c>
      <c r="J325">
        <v>800.58112000000006</v>
      </c>
      <c r="K325" t="s">
        <v>472</v>
      </c>
      <c r="L325" t="s">
        <v>329</v>
      </c>
      <c r="N325" t="s">
        <v>942</v>
      </c>
      <c r="O325" t="s">
        <v>959</v>
      </c>
      <c r="P325">
        <v>410</v>
      </c>
      <c r="Q325" t="b">
        <v>0</v>
      </c>
      <c r="R325" t="b">
        <v>1</v>
      </c>
      <c r="S325" t="b">
        <v>1</v>
      </c>
      <c r="T325" t="s">
        <v>7</v>
      </c>
      <c r="U325" t="b">
        <v>0</v>
      </c>
      <c r="V325" t="b">
        <v>0</v>
      </c>
      <c r="W325">
        <v>690</v>
      </c>
      <c r="X325">
        <v>0</v>
      </c>
      <c r="Y325">
        <v>0</v>
      </c>
      <c r="Z325">
        <v>0.98</v>
      </c>
      <c r="AA325">
        <v>0.54900000000000004</v>
      </c>
      <c r="AB325">
        <v>0.72399999999999998</v>
      </c>
      <c r="AC325">
        <v>0.82899999999999996</v>
      </c>
      <c r="AD325">
        <v>3</v>
      </c>
      <c r="AE325">
        <v>2</v>
      </c>
      <c r="AF325">
        <v>2.4060000000000001</v>
      </c>
      <c r="AG325">
        <v>539.25</v>
      </c>
      <c r="AH325" t="s">
        <v>927</v>
      </c>
      <c r="AI325" t="s">
        <v>949</v>
      </c>
      <c r="AJ325" t="s">
        <v>950</v>
      </c>
      <c r="AK325">
        <v>27962</v>
      </c>
      <c r="AL325">
        <v>0</v>
      </c>
      <c r="AM325">
        <v>0</v>
      </c>
      <c r="AN325">
        <v>0</v>
      </c>
      <c r="AO325">
        <v>0</v>
      </c>
      <c r="AP325">
        <v>153789</v>
      </c>
      <c r="AQ325">
        <v>160098</v>
      </c>
      <c r="AR325">
        <v>88742</v>
      </c>
      <c r="AS325">
        <v>114882</v>
      </c>
      <c r="AT325">
        <v>113809</v>
      </c>
      <c r="AU325">
        <v>0</v>
      </c>
      <c r="AV325">
        <v>0</v>
      </c>
      <c r="AW325">
        <v>0</v>
      </c>
      <c r="AX325">
        <v>27962.5</v>
      </c>
      <c r="AY325">
        <v>0</v>
      </c>
      <c r="AZ325">
        <v>0</v>
      </c>
      <c r="BA325">
        <v>0</v>
      </c>
      <c r="BB325">
        <v>0</v>
      </c>
      <c r="BC325">
        <v>153788.75</v>
      </c>
      <c r="BD325">
        <v>160098.3125</v>
      </c>
      <c r="BE325">
        <v>88741.5625</v>
      </c>
      <c r="BF325">
        <v>114882.25</v>
      </c>
      <c r="BG325">
        <v>113808.625</v>
      </c>
      <c r="BH325">
        <v>0</v>
      </c>
      <c r="BI325">
        <v>0</v>
      </c>
      <c r="BJ325">
        <v>0</v>
      </c>
      <c r="BK325">
        <v>0</v>
      </c>
      <c r="BL325">
        <v>0</v>
      </c>
      <c r="BM325">
        <v>0</v>
      </c>
      <c r="BN325">
        <v>0</v>
      </c>
      <c r="BO325">
        <v>0</v>
      </c>
      <c r="BP325">
        <v>0</v>
      </c>
      <c r="BQ325">
        <v>0</v>
      </c>
      <c r="BR325">
        <v>0</v>
      </c>
      <c r="BS325">
        <v>0</v>
      </c>
      <c r="BT325">
        <v>0</v>
      </c>
      <c r="BU325">
        <v>0</v>
      </c>
      <c r="BV325">
        <v>0</v>
      </c>
      <c r="BW325">
        <v>0</v>
      </c>
    </row>
    <row r="326" spans="1:75" x14ac:dyDescent="0.55000000000000004">
      <c r="A326">
        <v>704</v>
      </c>
      <c r="B326">
        <v>14.766999999999999</v>
      </c>
      <c r="C326">
        <v>801.61303999999996</v>
      </c>
      <c r="D326" t="s">
        <v>951</v>
      </c>
      <c r="E326" t="s">
        <v>1</v>
      </c>
      <c r="F326" t="s">
        <v>2</v>
      </c>
      <c r="G326">
        <v>0.23</v>
      </c>
      <c r="H326" t="b">
        <v>1</v>
      </c>
      <c r="I326">
        <v>9.9009999999999998</v>
      </c>
      <c r="J326">
        <v>801.61266999999998</v>
      </c>
      <c r="K326" t="s">
        <v>952</v>
      </c>
      <c r="L326" t="s">
        <v>181</v>
      </c>
      <c r="N326" t="s">
        <v>953</v>
      </c>
      <c r="O326" t="s">
        <v>965</v>
      </c>
      <c r="P326">
        <v>410</v>
      </c>
      <c r="Q326" t="b">
        <v>0</v>
      </c>
      <c r="R326" t="b">
        <v>1</v>
      </c>
      <c r="S326" t="b">
        <v>1</v>
      </c>
      <c r="T326" t="s">
        <v>7</v>
      </c>
      <c r="U326" t="b">
        <v>0</v>
      </c>
      <c r="V326" t="b">
        <v>0</v>
      </c>
      <c r="W326">
        <v>704</v>
      </c>
      <c r="X326">
        <v>0</v>
      </c>
      <c r="Y326">
        <v>0</v>
      </c>
      <c r="Z326">
        <v>1</v>
      </c>
      <c r="AA326">
        <v>0.877</v>
      </c>
      <c r="AB326">
        <v>0.92700000000000005</v>
      </c>
      <c r="AC326">
        <v>0.94899999999999995</v>
      </c>
      <c r="AD326">
        <v>5</v>
      </c>
      <c r="AE326">
        <v>2</v>
      </c>
      <c r="AF326">
        <v>2.5779999999999998</v>
      </c>
      <c r="AG326">
        <v>15436.44</v>
      </c>
      <c r="AH326" t="s">
        <v>454</v>
      </c>
      <c r="AI326" t="s">
        <v>955</v>
      </c>
      <c r="AJ326" t="s">
        <v>956</v>
      </c>
      <c r="AK326">
        <v>977532</v>
      </c>
      <c r="AL326">
        <v>0</v>
      </c>
      <c r="AM326">
        <v>0</v>
      </c>
      <c r="AN326">
        <v>0</v>
      </c>
      <c r="AO326">
        <v>0</v>
      </c>
      <c r="AP326">
        <v>6555898</v>
      </c>
      <c r="AQ326">
        <v>6786706</v>
      </c>
      <c r="AR326">
        <v>3998840</v>
      </c>
      <c r="AS326">
        <v>4392582</v>
      </c>
      <c r="AT326">
        <v>4344117</v>
      </c>
      <c r="AU326">
        <v>0</v>
      </c>
      <c r="AV326">
        <v>0</v>
      </c>
      <c r="AW326">
        <v>0</v>
      </c>
      <c r="AX326">
        <v>977531.8125</v>
      </c>
      <c r="AY326">
        <v>0</v>
      </c>
      <c r="AZ326">
        <v>0</v>
      </c>
      <c r="BA326">
        <v>0</v>
      </c>
      <c r="BB326">
        <v>0</v>
      </c>
      <c r="BC326">
        <v>6555898</v>
      </c>
      <c r="BD326">
        <v>6786706</v>
      </c>
      <c r="BE326">
        <v>3998839.625</v>
      </c>
      <c r="BF326">
        <v>4392581.5</v>
      </c>
      <c r="BG326">
        <v>4344117.0625</v>
      </c>
      <c r="BH326">
        <v>0</v>
      </c>
      <c r="BI326">
        <v>0</v>
      </c>
      <c r="BJ326">
        <v>0</v>
      </c>
      <c r="BK326">
        <v>0</v>
      </c>
      <c r="BL326">
        <v>0</v>
      </c>
      <c r="BM326">
        <v>0</v>
      </c>
      <c r="BN326">
        <v>0</v>
      </c>
      <c r="BO326">
        <v>0</v>
      </c>
      <c r="BP326">
        <v>0</v>
      </c>
      <c r="BQ326">
        <v>0</v>
      </c>
      <c r="BR326">
        <v>0</v>
      </c>
      <c r="BS326">
        <v>0</v>
      </c>
      <c r="BT326">
        <v>0</v>
      </c>
      <c r="BU326">
        <v>0</v>
      </c>
      <c r="BV326">
        <v>0</v>
      </c>
      <c r="BW326">
        <v>0</v>
      </c>
    </row>
    <row r="327" spans="1:75" x14ac:dyDescent="0.55000000000000004">
      <c r="A327">
        <v>712</v>
      </c>
      <c r="B327">
        <v>13.583</v>
      </c>
      <c r="C327">
        <v>802.55980999999997</v>
      </c>
      <c r="D327" t="s">
        <v>957</v>
      </c>
      <c r="E327" t="s">
        <v>1</v>
      </c>
      <c r="F327" t="s">
        <v>2</v>
      </c>
      <c r="G327">
        <v>0.23</v>
      </c>
      <c r="H327" t="b">
        <v>1</v>
      </c>
      <c r="I327">
        <v>9.3330000000000002</v>
      </c>
      <c r="J327">
        <v>802.56042000000002</v>
      </c>
      <c r="K327" t="s">
        <v>479</v>
      </c>
      <c r="L327" t="s">
        <v>660</v>
      </c>
      <c r="N327" t="s">
        <v>958</v>
      </c>
      <c r="O327" t="s">
        <v>971</v>
      </c>
      <c r="P327">
        <v>410</v>
      </c>
      <c r="Q327" t="b">
        <v>0</v>
      </c>
      <c r="R327" t="b">
        <v>1</v>
      </c>
      <c r="S327" t="b">
        <v>1</v>
      </c>
      <c r="T327" t="s">
        <v>7</v>
      </c>
      <c r="U327" t="b">
        <v>0</v>
      </c>
      <c r="V327" t="b">
        <v>0</v>
      </c>
      <c r="W327">
        <v>712</v>
      </c>
      <c r="X327">
        <v>0</v>
      </c>
      <c r="Y327">
        <v>0</v>
      </c>
      <c r="Z327">
        <v>1</v>
      </c>
      <c r="AA327">
        <v>0.28999999999999998</v>
      </c>
      <c r="AB327">
        <v>0.29199999999999998</v>
      </c>
      <c r="AC327">
        <v>0.81799999999999995</v>
      </c>
      <c r="AD327">
        <v>4</v>
      </c>
      <c r="AE327">
        <v>2</v>
      </c>
      <c r="AF327">
        <v>2.258</v>
      </c>
      <c r="AG327">
        <v>333217.59999999998</v>
      </c>
      <c r="AH327" t="s">
        <v>960</v>
      </c>
      <c r="AI327" t="s">
        <v>961</v>
      </c>
      <c r="AJ327" t="s">
        <v>962</v>
      </c>
      <c r="AK327">
        <v>4709540</v>
      </c>
      <c r="AL327">
        <v>0</v>
      </c>
      <c r="AM327">
        <v>0</v>
      </c>
      <c r="AN327">
        <v>0</v>
      </c>
      <c r="AO327">
        <v>0</v>
      </c>
      <c r="AP327">
        <v>188352331</v>
      </c>
      <c r="AQ327">
        <v>189039600</v>
      </c>
      <c r="AR327">
        <v>120892484</v>
      </c>
      <c r="AS327">
        <v>135930124</v>
      </c>
      <c r="AT327">
        <v>134232277</v>
      </c>
      <c r="AU327">
        <v>0</v>
      </c>
      <c r="AV327">
        <v>0</v>
      </c>
      <c r="AW327">
        <v>0</v>
      </c>
      <c r="AX327">
        <v>4709539.5625</v>
      </c>
      <c r="AY327">
        <v>0</v>
      </c>
      <c r="AZ327">
        <v>0</v>
      </c>
      <c r="BA327">
        <v>0</v>
      </c>
      <c r="BB327">
        <v>0</v>
      </c>
      <c r="BC327">
        <v>188352331</v>
      </c>
      <c r="BD327">
        <v>189039600</v>
      </c>
      <c r="BE327">
        <v>120892484</v>
      </c>
      <c r="BF327">
        <v>135930124</v>
      </c>
      <c r="BG327">
        <v>134232277</v>
      </c>
      <c r="BH327">
        <v>0</v>
      </c>
      <c r="BI327">
        <v>0</v>
      </c>
      <c r="BJ327">
        <v>0</v>
      </c>
      <c r="BK327">
        <v>0</v>
      </c>
      <c r="BL327">
        <v>0</v>
      </c>
      <c r="BM327">
        <v>0</v>
      </c>
      <c r="BN327">
        <v>0</v>
      </c>
      <c r="BO327">
        <v>0</v>
      </c>
      <c r="BP327">
        <v>0</v>
      </c>
      <c r="BQ327">
        <v>0</v>
      </c>
      <c r="BR327">
        <v>0</v>
      </c>
      <c r="BS327">
        <v>0</v>
      </c>
      <c r="BT327">
        <v>0</v>
      </c>
      <c r="BU327">
        <v>0</v>
      </c>
      <c r="BV327">
        <v>0</v>
      </c>
      <c r="BW327">
        <v>0</v>
      </c>
    </row>
    <row r="328" spans="1:75" x14ac:dyDescent="0.55000000000000004">
      <c r="A328">
        <v>713</v>
      </c>
      <c r="B328">
        <v>13.663</v>
      </c>
      <c r="C328">
        <v>802.56011999999998</v>
      </c>
      <c r="D328" t="s">
        <v>963</v>
      </c>
      <c r="E328" t="s">
        <v>1</v>
      </c>
      <c r="F328" t="s">
        <v>2</v>
      </c>
      <c r="G328">
        <v>0.23</v>
      </c>
      <c r="H328" t="b">
        <v>1</v>
      </c>
      <c r="I328">
        <v>9.2050000000000001</v>
      </c>
      <c r="J328">
        <v>802.56042000000002</v>
      </c>
      <c r="K328" t="s">
        <v>479</v>
      </c>
      <c r="L328" t="s">
        <v>660</v>
      </c>
      <c r="N328" t="s">
        <v>964</v>
      </c>
      <c r="O328" t="s">
        <v>976</v>
      </c>
      <c r="P328">
        <v>410</v>
      </c>
      <c r="Q328" t="b">
        <v>0</v>
      </c>
      <c r="R328" t="b">
        <v>1</v>
      </c>
      <c r="S328" t="b">
        <v>1</v>
      </c>
      <c r="T328" t="s">
        <v>7</v>
      </c>
      <c r="U328" t="b">
        <v>0</v>
      </c>
      <c r="V328" t="b">
        <v>0</v>
      </c>
      <c r="W328">
        <v>713</v>
      </c>
      <c r="X328">
        <v>0</v>
      </c>
      <c r="Y328">
        <v>0</v>
      </c>
      <c r="Z328">
        <v>1</v>
      </c>
      <c r="AA328">
        <v>0.73499999999999999</v>
      </c>
      <c r="AB328">
        <v>0.81399999999999995</v>
      </c>
      <c r="AC328">
        <v>0.91900000000000004</v>
      </c>
      <c r="AD328">
        <v>8</v>
      </c>
      <c r="AE328">
        <v>2</v>
      </c>
      <c r="AF328">
        <v>2.512</v>
      </c>
      <c r="AG328">
        <v>435840.7</v>
      </c>
      <c r="AH328" t="s">
        <v>927</v>
      </c>
      <c r="AI328" t="s">
        <v>966</v>
      </c>
      <c r="AJ328" t="s">
        <v>967</v>
      </c>
      <c r="AK328">
        <v>40388776</v>
      </c>
      <c r="AL328">
        <v>0</v>
      </c>
      <c r="AM328">
        <v>0</v>
      </c>
      <c r="AN328">
        <v>0</v>
      </c>
      <c r="AO328">
        <v>0</v>
      </c>
      <c r="AP328">
        <v>188352331</v>
      </c>
      <c r="AQ328">
        <v>189039600</v>
      </c>
      <c r="AR328">
        <v>120892484</v>
      </c>
      <c r="AS328">
        <v>135930124</v>
      </c>
      <c r="AT328">
        <v>134232277</v>
      </c>
      <c r="AU328">
        <v>0</v>
      </c>
      <c r="AV328">
        <v>0</v>
      </c>
      <c r="AW328">
        <v>0</v>
      </c>
      <c r="AX328">
        <v>40388776</v>
      </c>
      <c r="AY328">
        <v>0</v>
      </c>
      <c r="AZ328">
        <v>0</v>
      </c>
      <c r="BA328">
        <v>0</v>
      </c>
      <c r="BB328">
        <v>0</v>
      </c>
      <c r="BC328">
        <v>188352331</v>
      </c>
      <c r="BD328">
        <v>189039600</v>
      </c>
      <c r="BE328">
        <v>120892484</v>
      </c>
      <c r="BF328">
        <v>135930124</v>
      </c>
      <c r="BG328">
        <v>134232277</v>
      </c>
      <c r="BH328">
        <v>0</v>
      </c>
      <c r="BI328">
        <v>0</v>
      </c>
      <c r="BJ328">
        <v>0</v>
      </c>
      <c r="BK328">
        <v>0</v>
      </c>
      <c r="BL328">
        <v>0</v>
      </c>
      <c r="BM328">
        <v>0</v>
      </c>
      <c r="BN328">
        <v>0</v>
      </c>
      <c r="BO328">
        <v>0</v>
      </c>
      <c r="BP328">
        <v>0</v>
      </c>
      <c r="BQ328">
        <v>0</v>
      </c>
      <c r="BR328">
        <v>0</v>
      </c>
      <c r="BS328">
        <v>0</v>
      </c>
      <c r="BT328">
        <v>0</v>
      </c>
      <c r="BU328">
        <v>0</v>
      </c>
      <c r="BV328">
        <v>0</v>
      </c>
      <c r="BW328">
        <v>0</v>
      </c>
    </row>
    <row r="329" spans="1:75" x14ac:dyDescent="0.55000000000000004">
      <c r="A329">
        <v>716</v>
      </c>
      <c r="B329">
        <v>16.016999999999999</v>
      </c>
      <c r="C329">
        <v>802.57635000000005</v>
      </c>
      <c r="D329" t="s">
        <v>968</v>
      </c>
      <c r="E329" t="s">
        <v>32</v>
      </c>
      <c r="F329" t="s">
        <v>2</v>
      </c>
      <c r="G329">
        <v>0.46</v>
      </c>
      <c r="H329" t="b">
        <v>1</v>
      </c>
      <c r="I329">
        <v>11.708</v>
      </c>
      <c r="J329">
        <v>802.57561999999996</v>
      </c>
      <c r="K329" t="s">
        <v>969</v>
      </c>
      <c r="L329" t="s">
        <v>124</v>
      </c>
      <c r="N329" t="s">
        <v>970</v>
      </c>
      <c r="O329" t="s">
        <v>982</v>
      </c>
      <c r="P329">
        <v>410</v>
      </c>
      <c r="Q329" t="b">
        <v>0</v>
      </c>
      <c r="R329" t="b">
        <v>1</v>
      </c>
      <c r="S329" t="b">
        <v>1</v>
      </c>
      <c r="T329" t="s">
        <v>7</v>
      </c>
      <c r="U329" t="b">
        <v>0</v>
      </c>
      <c r="V329" t="b">
        <v>0</v>
      </c>
      <c r="W329">
        <v>716</v>
      </c>
      <c r="X329">
        <v>0</v>
      </c>
      <c r="Y329">
        <v>0</v>
      </c>
      <c r="Z329">
        <v>0.98</v>
      </c>
      <c r="AA329">
        <v>0.56200000000000006</v>
      </c>
      <c r="AB329">
        <v>0.628</v>
      </c>
      <c r="AC329">
        <v>0.94499999999999995</v>
      </c>
      <c r="AD329">
        <v>3</v>
      </c>
      <c r="AE329">
        <v>2</v>
      </c>
      <c r="AF329">
        <v>2.4350000000000001</v>
      </c>
      <c r="AG329">
        <v>608.82000000000005</v>
      </c>
      <c r="AH329" t="s">
        <v>927</v>
      </c>
      <c r="AI329" t="s">
        <v>972</v>
      </c>
      <c r="AJ329" t="s">
        <v>973</v>
      </c>
      <c r="AK329">
        <v>29954</v>
      </c>
      <c r="AL329">
        <v>0</v>
      </c>
      <c r="AM329">
        <v>0</v>
      </c>
      <c r="AN329">
        <v>0</v>
      </c>
      <c r="AO329">
        <v>0</v>
      </c>
      <c r="AP329">
        <v>389832</v>
      </c>
      <c r="AQ329">
        <v>400127</v>
      </c>
      <c r="AR329">
        <v>185687</v>
      </c>
      <c r="AS329">
        <v>220132</v>
      </c>
      <c r="AT329">
        <v>225105</v>
      </c>
      <c r="AU329">
        <v>0</v>
      </c>
      <c r="AV329">
        <v>0</v>
      </c>
      <c r="AW329">
        <v>0</v>
      </c>
      <c r="AX329">
        <v>29954.3125</v>
      </c>
      <c r="AY329">
        <v>0</v>
      </c>
      <c r="AZ329">
        <v>0</v>
      </c>
      <c r="BA329">
        <v>0</v>
      </c>
      <c r="BB329">
        <v>0</v>
      </c>
      <c r="BC329">
        <v>389831.75</v>
      </c>
      <c r="BD329">
        <v>400127.1875</v>
      </c>
      <c r="BE329">
        <v>185687.1875</v>
      </c>
      <c r="BF329">
        <v>220132.125</v>
      </c>
      <c r="BG329">
        <v>225105.3125</v>
      </c>
      <c r="BH329">
        <v>0</v>
      </c>
      <c r="BI329">
        <v>0</v>
      </c>
      <c r="BJ329">
        <v>0</v>
      </c>
      <c r="BK329">
        <v>0</v>
      </c>
      <c r="BL329">
        <v>0</v>
      </c>
      <c r="BM329">
        <v>0</v>
      </c>
      <c r="BN329">
        <v>0</v>
      </c>
      <c r="BO329">
        <v>0</v>
      </c>
      <c r="BP329">
        <v>0</v>
      </c>
      <c r="BQ329">
        <v>0</v>
      </c>
      <c r="BR329">
        <v>0</v>
      </c>
      <c r="BS329">
        <v>0</v>
      </c>
      <c r="BT329">
        <v>0</v>
      </c>
      <c r="BU329">
        <v>0</v>
      </c>
      <c r="BV329">
        <v>0</v>
      </c>
      <c r="BW329">
        <v>0</v>
      </c>
    </row>
    <row r="330" spans="1:75" x14ac:dyDescent="0.55000000000000004">
      <c r="A330">
        <v>718</v>
      </c>
      <c r="B330">
        <v>15.491</v>
      </c>
      <c r="C330">
        <v>802.59760000000006</v>
      </c>
      <c r="D330" t="s">
        <v>974</v>
      </c>
      <c r="E330" t="s">
        <v>1</v>
      </c>
      <c r="F330" t="s">
        <v>2</v>
      </c>
      <c r="G330">
        <v>0.38</v>
      </c>
      <c r="H330" t="b">
        <v>1</v>
      </c>
      <c r="I330">
        <v>9.9480000000000004</v>
      </c>
      <c r="J330">
        <v>802.59667999999999</v>
      </c>
      <c r="K330" t="s">
        <v>485</v>
      </c>
      <c r="L330" t="s">
        <v>329</v>
      </c>
      <c r="N330" t="s">
        <v>975</v>
      </c>
      <c r="O330" t="s">
        <v>987</v>
      </c>
      <c r="P330">
        <v>410</v>
      </c>
      <c r="Q330" t="b">
        <v>0</v>
      </c>
      <c r="R330" t="b">
        <v>1</v>
      </c>
      <c r="S330" t="b">
        <v>1</v>
      </c>
      <c r="T330" t="s">
        <v>7</v>
      </c>
      <c r="U330" t="b">
        <v>0</v>
      </c>
      <c r="V330" t="b">
        <v>0</v>
      </c>
      <c r="W330">
        <v>718</v>
      </c>
      <c r="X330">
        <v>0</v>
      </c>
      <c r="Y330">
        <v>0</v>
      </c>
      <c r="Z330">
        <v>0.97</v>
      </c>
      <c r="AA330">
        <v>0.47</v>
      </c>
      <c r="AB330">
        <v>0.61899999999999999</v>
      </c>
      <c r="AC330">
        <v>0.83099999999999996</v>
      </c>
      <c r="AD330">
        <v>3</v>
      </c>
      <c r="AE330">
        <v>2</v>
      </c>
      <c r="AF330">
        <v>2.3620000000000001</v>
      </c>
      <c r="AG330">
        <v>140.08000000000001</v>
      </c>
      <c r="AH330" t="s">
        <v>944</v>
      </c>
      <c r="AI330" t="s">
        <v>977</v>
      </c>
      <c r="AJ330" t="s">
        <v>978</v>
      </c>
      <c r="AK330">
        <v>6363</v>
      </c>
      <c r="AL330">
        <v>0</v>
      </c>
      <c r="AM330">
        <v>0</v>
      </c>
      <c r="AN330">
        <v>0</v>
      </c>
      <c r="AO330">
        <v>0</v>
      </c>
      <c r="AP330">
        <v>78111</v>
      </c>
      <c r="AQ330">
        <v>78993</v>
      </c>
      <c r="AR330">
        <v>37012</v>
      </c>
      <c r="AS330">
        <v>43788</v>
      </c>
      <c r="AT330">
        <v>43986</v>
      </c>
      <c r="AU330">
        <v>0</v>
      </c>
      <c r="AV330">
        <v>0</v>
      </c>
      <c r="AW330">
        <v>0</v>
      </c>
      <c r="AX330">
        <v>6363.1875</v>
      </c>
      <c r="AY330">
        <v>0</v>
      </c>
      <c r="AZ330">
        <v>0</v>
      </c>
      <c r="BA330">
        <v>0</v>
      </c>
      <c r="BB330">
        <v>0</v>
      </c>
      <c r="BC330">
        <v>78111</v>
      </c>
      <c r="BD330">
        <v>78992.9375</v>
      </c>
      <c r="BE330">
        <v>37012.125</v>
      </c>
      <c r="BF330">
        <v>43787.625</v>
      </c>
      <c r="BG330">
        <v>43985.875</v>
      </c>
      <c r="BH330">
        <v>0</v>
      </c>
      <c r="BI330">
        <v>0</v>
      </c>
      <c r="BJ330">
        <v>0</v>
      </c>
      <c r="BK330">
        <v>0</v>
      </c>
      <c r="BL330">
        <v>0</v>
      </c>
      <c r="BM330">
        <v>0</v>
      </c>
      <c r="BN330">
        <v>0</v>
      </c>
      <c r="BO330">
        <v>0</v>
      </c>
      <c r="BP330">
        <v>0</v>
      </c>
      <c r="BQ330">
        <v>0</v>
      </c>
      <c r="BR330">
        <v>0</v>
      </c>
      <c r="BS330">
        <v>0</v>
      </c>
      <c r="BT330">
        <v>0</v>
      </c>
      <c r="BU330">
        <v>0</v>
      </c>
      <c r="BV330">
        <v>0</v>
      </c>
      <c r="BW330">
        <v>0</v>
      </c>
    </row>
    <row r="331" spans="1:75" x14ac:dyDescent="0.55000000000000004">
      <c r="A331">
        <v>726</v>
      </c>
      <c r="B331">
        <v>15.798999999999999</v>
      </c>
      <c r="C331">
        <v>803.62842000000001</v>
      </c>
      <c r="D331" t="s">
        <v>979</v>
      </c>
      <c r="E331" t="s">
        <v>1</v>
      </c>
      <c r="F331" t="s">
        <v>2</v>
      </c>
      <c r="G331">
        <v>0.23</v>
      </c>
      <c r="H331" t="b">
        <v>1</v>
      </c>
      <c r="I331">
        <v>10.868</v>
      </c>
      <c r="J331">
        <v>803.62842000000001</v>
      </c>
      <c r="K331" t="s">
        <v>980</v>
      </c>
      <c r="L331" t="s">
        <v>181</v>
      </c>
      <c r="N331" t="s">
        <v>981</v>
      </c>
      <c r="O331" t="s">
        <v>987</v>
      </c>
      <c r="P331">
        <v>410</v>
      </c>
      <c r="Q331" t="b">
        <v>0</v>
      </c>
      <c r="R331" t="b">
        <v>1</v>
      </c>
      <c r="S331" t="b">
        <v>1</v>
      </c>
      <c r="T331" t="s">
        <v>7</v>
      </c>
      <c r="U331" t="b">
        <v>0</v>
      </c>
      <c r="V331" t="b">
        <v>0</v>
      </c>
      <c r="W331">
        <v>726</v>
      </c>
      <c r="X331">
        <v>0</v>
      </c>
      <c r="Y331">
        <v>0</v>
      </c>
      <c r="Z331">
        <v>1</v>
      </c>
      <c r="AA331">
        <v>0.89800000000000002</v>
      </c>
      <c r="AB331">
        <v>0.93100000000000005</v>
      </c>
      <c r="AC331">
        <v>0.94799999999999995</v>
      </c>
      <c r="AD331">
        <v>5</v>
      </c>
      <c r="AE331">
        <v>2</v>
      </c>
      <c r="AF331">
        <v>2.5840000000000001</v>
      </c>
      <c r="AG331">
        <v>37667.5</v>
      </c>
      <c r="AH331" t="s">
        <v>454</v>
      </c>
      <c r="AI331" t="s">
        <v>983</v>
      </c>
      <c r="AJ331" t="s">
        <v>984</v>
      </c>
      <c r="AK331">
        <v>2896974</v>
      </c>
      <c r="AL331">
        <v>0</v>
      </c>
      <c r="AM331">
        <v>0</v>
      </c>
      <c r="AN331">
        <v>0</v>
      </c>
      <c r="AO331">
        <v>0</v>
      </c>
      <c r="AP331">
        <v>20616418</v>
      </c>
      <c r="AQ331">
        <v>21031161</v>
      </c>
      <c r="AR331">
        <v>12506372</v>
      </c>
      <c r="AS331">
        <v>13815546</v>
      </c>
      <c r="AT331">
        <v>13810428</v>
      </c>
      <c r="AU331">
        <v>0</v>
      </c>
      <c r="AV331">
        <v>0</v>
      </c>
      <c r="AW331">
        <v>0</v>
      </c>
      <c r="AX331">
        <v>2896973.875</v>
      </c>
      <c r="AY331">
        <v>0</v>
      </c>
      <c r="AZ331">
        <v>0</v>
      </c>
      <c r="BA331">
        <v>0</v>
      </c>
      <c r="BB331">
        <v>0</v>
      </c>
      <c r="BC331">
        <v>20616418.5</v>
      </c>
      <c r="BD331">
        <v>21031160.6875</v>
      </c>
      <c r="BE331">
        <v>12506372.25</v>
      </c>
      <c r="BF331">
        <v>13815546.0625</v>
      </c>
      <c r="BG331">
        <v>13810428.375</v>
      </c>
      <c r="BH331">
        <v>0</v>
      </c>
      <c r="BI331">
        <v>0</v>
      </c>
      <c r="BJ331">
        <v>0</v>
      </c>
      <c r="BK331">
        <v>0</v>
      </c>
      <c r="BL331">
        <v>0</v>
      </c>
      <c r="BM331">
        <v>0</v>
      </c>
      <c r="BN331">
        <v>0</v>
      </c>
      <c r="BO331">
        <v>0</v>
      </c>
      <c r="BP331">
        <v>0</v>
      </c>
      <c r="BQ331">
        <v>0</v>
      </c>
      <c r="BR331">
        <v>0</v>
      </c>
      <c r="BS331">
        <v>0</v>
      </c>
      <c r="BT331">
        <v>0</v>
      </c>
      <c r="BU331">
        <v>0</v>
      </c>
      <c r="BV331">
        <v>0</v>
      </c>
      <c r="BW331">
        <v>0</v>
      </c>
    </row>
    <row r="332" spans="1:75" x14ac:dyDescent="0.55000000000000004">
      <c r="A332">
        <v>735</v>
      </c>
      <c r="B332">
        <v>14.686999999999999</v>
      </c>
      <c r="C332">
        <v>804.57587000000001</v>
      </c>
      <c r="D332" t="s">
        <v>985</v>
      </c>
      <c r="E332" t="s">
        <v>1</v>
      </c>
      <c r="F332" t="s">
        <v>2</v>
      </c>
      <c r="G332">
        <v>0.23</v>
      </c>
      <c r="H332" t="b">
        <v>1</v>
      </c>
      <c r="I332">
        <v>9.6820000000000004</v>
      </c>
      <c r="J332">
        <v>804.57599000000005</v>
      </c>
      <c r="K332" t="s">
        <v>495</v>
      </c>
      <c r="L332" t="s">
        <v>660</v>
      </c>
      <c r="N332" t="s">
        <v>986</v>
      </c>
      <c r="O332" t="s">
        <v>996</v>
      </c>
      <c r="P332">
        <v>410</v>
      </c>
      <c r="Q332" t="b">
        <v>0</v>
      </c>
      <c r="R332" t="b">
        <v>1</v>
      </c>
      <c r="S332" t="b">
        <v>1</v>
      </c>
      <c r="T332" t="s">
        <v>7</v>
      </c>
      <c r="U332" t="b">
        <v>0</v>
      </c>
      <c r="V332" t="b">
        <v>0</v>
      </c>
      <c r="W332">
        <v>735</v>
      </c>
      <c r="X332">
        <v>0</v>
      </c>
      <c r="Y332">
        <v>0</v>
      </c>
      <c r="Z332">
        <v>1</v>
      </c>
      <c r="AA332">
        <v>0.87</v>
      </c>
      <c r="AB332">
        <v>0.89200000000000002</v>
      </c>
      <c r="AC332">
        <v>0.90700000000000003</v>
      </c>
      <c r="AD332">
        <v>9</v>
      </c>
      <c r="AE332">
        <v>2</v>
      </c>
      <c r="AF332">
        <v>2.552</v>
      </c>
      <c r="AG332">
        <v>130105</v>
      </c>
      <c r="AH332" t="s">
        <v>454</v>
      </c>
      <c r="AI332" t="s">
        <v>988</v>
      </c>
      <c r="AJ332" t="s">
        <v>989</v>
      </c>
      <c r="AK332">
        <v>18008579</v>
      </c>
      <c r="AL332">
        <v>0</v>
      </c>
      <c r="AM332">
        <v>0</v>
      </c>
      <c r="AN332">
        <v>0</v>
      </c>
      <c r="AO332">
        <v>0</v>
      </c>
      <c r="AP332">
        <v>97466176</v>
      </c>
      <c r="AQ332">
        <v>98769798</v>
      </c>
      <c r="AR332">
        <v>62608251</v>
      </c>
      <c r="AS332">
        <v>69969620</v>
      </c>
      <c r="AT332">
        <v>68955546</v>
      </c>
      <c r="AU332">
        <v>0</v>
      </c>
      <c r="AV332">
        <v>0</v>
      </c>
      <c r="AW332">
        <v>0</v>
      </c>
      <c r="AX332">
        <v>18008579.375</v>
      </c>
      <c r="AY332">
        <v>0</v>
      </c>
      <c r="AZ332">
        <v>0</v>
      </c>
      <c r="BA332">
        <v>0</v>
      </c>
      <c r="BB332">
        <v>0</v>
      </c>
      <c r="BC332">
        <v>97466175.75</v>
      </c>
      <c r="BD332">
        <v>98769798</v>
      </c>
      <c r="BE332">
        <v>62608251</v>
      </c>
      <c r="BF332">
        <v>69969620</v>
      </c>
      <c r="BG332">
        <v>68955545.75</v>
      </c>
      <c r="BH332">
        <v>0</v>
      </c>
      <c r="BI332">
        <v>0</v>
      </c>
      <c r="BJ332">
        <v>0</v>
      </c>
      <c r="BK332">
        <v>0</v>
      </c>
      <c r="BL332">
        <v>0</v>
      </c>
      <c r="BM332">
        <v>0</v>
      </c>
      <c r="BN332">
        <v>0</v>
      </c>
      <c r="BO332">
        <v>0</v>
      </c>
      <c r="BP332">
        <v>0</v>
      </c>
      <c r="BQ332">
        <v>0</v>
      </c>
      <c r="BR332">
        <v>0</v>
      </c>
      <c r="BS332">
        <v>0</v>
      </c>
      <c r="BT332">
        <v>0</v>
      </c>
      <c r="BU332">
        <v>0</v>
      </c>
      <c r="BV332">
        <v>0</v>
      </c>
      <c r="BW332">
        <v>0</v>
      </c>
    </row>
    <row r="333" spans="1:75" x14ac:dyDescent="0.55000000000000004">
      <c r="A333">
        <v>736</v>
      </c>
      <c r="B333">
        <v>14.61</v>
      </c>
      <c r="C333">
        <v>804.57599000000005</v>
      </c>
      <c r="D333" t="s">
        <v>985</v>
      </c>
      <c r="E333" t="s">
        <v>1</v>
      </c>
      <c r="F333" t="s">
        <v>2</v>
      </c>
      <c r="G333">
        <v>0.23</v>
      </c>
      <c r="H333" t="b">
        <v>1</v>
      </c>
      <c r="I333">
        <v>9.6820000000000004</v>
      </c>
      <c r="J333">
        <v>804.57599000000005</v>
      </c>
      <c r="K333" t="s">
        <v>495</v>
      </c>
      <c r="L333" t="s">
        <v>660</v>
      </c>
      <c r="N333" t="s">
        <v>986</v>
      </c>
      <c r="O333" t="s">
        <v>1002</v>
      </c>
      <c r="P333">
        <v>410</v>
      </c>
      <c r="Q333" t="b">
        <v>0</v>
      </c>
      <c r="R333" t="b">
        <v>1</v>
      </c>
      <c r="S333" t="b">
        <v>1</v>
      </c>
      <c r="T333" t="s">
        <v>7</v>
      </c>
      <c r="U333" t="b">
        <v>0</v>
      </c>
      <c r="V333" t="b">
        <v>0</v>
      </c>
      <c r="W333">
        <v>736</v>
      </c>
      <c r="X333">
        <v>0</v>
      </c>
      <c r="Y333">
        <v>0</v>
      </c>
      <c r="Z333">
        <v>1</v>
      </c>
      <c r="AA333">
        <v>0.46100000000000002</v>
      </c>
      <c r="AB333">
        <v>0.56200000000000006</v>
      </c>
      <c r="AC333">
        <v>0.86199999999999999</v>
      </c>
      <c r="AD333">
        <v>4</v>
      </c>
      <c r="AE333">
        <v>2</v>
      </c>
      <c r="AF333">
        <v>2.3740000000000001</v>
      </c>
      <c r="AG333">
        <v>125804.7</v>
      </c>
      <c r="AH333" t="s">
        <v>990</v>
      </c>
      <c r="AI333" t="s">
        <v>991</v>
      </c>
      <c r="AJ333" t="s">
        <v>992</v>
      </c>
      <c r="AK333">
        <v>4768130</v>
      </c>
      <c r="AL333">
        <v>0</v>
      </c>
      <c r="AM333">
        <v>0</v>
      </c>
      <c r="AN333">
        <v>0</v>
      </c>
      <c r="AO333">
        <v>0</v>
      </c>
      <c r="AP333">
        <v>97466176</v>
      </c>
      <c r="AQ333">
        <v>98769798</v>
      </c>
      <c r="AR333">
        <v>62608251</v>
      </c>
      <c r="AS333">
        <v>69969620</v>
      </c>
      <c r="AT333">
        <v>68955546</v>
      </c>
      <c r="AU333">
        <v>0</v>
      </c>
      <c r="AV333">
        <v>0</v>
      </c>
      <c r="AW333">
        <v>0</v>
      </c>
      <c r="AX333">
        <v>4768129.5</v>
      </c>
      <c r="AY333">
        <v>0</v>
      </c>
      <c r="AZ333">
        <v>0</v>
      </c>
      <c r="BA333">
        <v>0</v>
      </c>
      <c r="BB333">
        <v>0</v>
      </c>
      <c r="BC333">
        <v>97466175.75</v>
      </c>
      <c r="BD333">
        <v>98769798</v>
      </c>
      <c r="BE333">
        <v>62608251</v>
      </c>
      <c r="BF333">
        <v>69969620</v>
      </c>
      <c r="BG333">
        <v>68955545.75</v>
      </c>
      <c r="BH333">
        <v>0</v>
      </c>
      <c r="BI333">
        <v>0</v>
      </c>
      <c r="BJ333">
        <v>0</v>
      </c>
      <c r="BK333">
        <v>0</v>
      </c>
      <c r="BL333">
        <v>0</v>
      </c>
      <c r="BM333">
        <v>0</v>
      </c>
      <c r="BN333">
        <v>0</v>
      </c>
      <c r="BO333">
        <v>0</v>
      </c>
      <c r="BP333">
        <v>0</v>
      </c>
      <c r="BQ333">
        <v>0</v>
      </c>
      <c r="BR333">
        <v>0</v>
      </c>
      <c r="BS333">
        <v>0</v>
      </c>
      <c r="BT333">
        <v>0</v>
      </c>
      <c r="BU333">
        <v>0</v>
      </c>
      <c r="BV333">
        <v>0</v>
      </c>
      <c r="BW333">
        <v>0</v>
      </c>
    </row>
    <row r="334" spans="1:75" x14ac:dyDescent="0.55000000000000004">
      <c r="A334">
        <v>739</v>
      </c>
      <c r="B334">
        <v>16.262</v>
      </c>
      <c r="C334">
        <v>804.59271000000001</v>
      </c>
      <c r="D334" t="s">
        <v>993</v>
      </c>
      <c r="E334" t="s">
        <v>32</v>
      </c>
      <c r="F334" t="s">
        <v>2</v>
      </c>
      <c r="G334">
        <v>0.38</v>
      </c>
      <c r="H334" t="b">
        <v>1</v>
      </c>
      <c r="I334">
        <v>11.948</v>
      </c>
      <c r="J334">
        <v>804.59131000000002</v>
      </c>
      <c r="K334" t="s">
        <v>994</v>
      </c>
      <c r="L334" t="s">
        <v>124</v>
      </c>
      <c r="N334" t="s">
        <v>995</v>
      </c>
      <c r="O334" t="s">
        <v>1008</v>
      </c>
      <c r="P334">
        <v>410</v>
      </c>
      <c r="Q334" t="b">
        <v>0</v>
      </c>
      <c r="R334" t="b">
        <v>1</v>
      </c>
      <c r="S334" t="b">
        <v>1</v>
      </c>
      <c r="T334" t="s">
        <v>7</v>
      </c>
      <c r="U334" t="b">
        <v>0</v>
      </c>
      <c r="V334" t="b">
        <v>0</v>
      </c>
      <c r="W334">
        <v>739</v>
      </c>
      <c r="X334">
        <v>0</v>
      </c>
      <c r="Y334">
        <v>0</v>
      </c>
      <c r="Z334">
        <v>0.96</v>
      </c>
      <c r="AA334">
        <v>0.56699999999999995</v>
      </c>
      <c r="AB334">
        <v>0.59699999999999998</v>
      </c>
      <c r="AC334">
        <v>0.93200000000000005</v>
      </c>
      <c r="AD334">
        <v>3</v>
      </c>
      <c r="AE334">
        <v>2</v>
      </c>
      <c r="AF334">
        <v>2.415</v>
      </c>
      <c r="AG334">
        <v>296.27</v>
      </c>
      <c r="AH334" t="s">
        <v>927</v>
      </c>
      <c r="AI334" t="s">
        <v>997</v>
      </c>
      <c r="AJ334" t="s">
        <v>998</v>
      </c>
      <c r="AK334">
        <v>18288</v>
      </c>
      <c r="AL334">
        <v>0</v>
      </c>
      <c r="AM334">
        <v>0</v>
      </c>
      <c r="AN334">
        <v>0</v>
      </c>
      <c r="AO334">
        <v>0</v>
      </c>
      <c r="AP334">
        <v>207539</v>
      </c>
      <c r="AQ334">
        <v>210213</v>
      </c>
      <c r="AR334">
        <v>121515</v>
      </c>
      <c r="AS334">
        <v>136665</v>
      </c>
      <c r="AT334">
        <v>126960</v>
      </c>
      <c r="AU334">
        <v>0</v>
      </c>
      <c r="AV334">
        <v>0</v>
      </c>
      <c r="AW334">
        <v>0</v>
      </c>
      <c r="AX334">
        <v>18287.5</v>
      </c>
      <c r="AY334">
        <v>0</v>
      </c>
      <c r="AZ334">
        <v>0</v>
      </c>
      <c r="BA334">
        <v>0</v>
      </c>
      <c r="BB334">
        <v>0</v>
      </c>
      <c r="BC334">
        <v>207539.1875</v>
      </c>
      <c r="BD334">
        <v>210212.875</v>
      </c>
      <c r="BE334">
        <v>121515.4375</v>
      </c>
      <c r="BF334">
        <v>136664.9375</v>
      </c>
      <c r="BG334">
        <v>126959.875</v>
      </c>
      <c r="BH334">
        <v>0</v>
      </c>
      <c r="BI334">
        <v>0</v>
      </c>
      <c r="BJ334">
        <v>0</v>
      </c>
      <c r="BK334">
        <v>0</v>
      </c>
      <c r="BL334">
        <v>0</v>
      </c>
      <c r="BM334">
        <v>0</v>
      </c>
      <c r="BN334">
        <v>0</v>
      </c>
      <c r="BO334">
        <v>0</v>
      </c>
      <c r="BP334">
        <v>0</v>
      </c>
      <c r="BQ334">
        <v>0</v>
      </c>
      <c r="BR334">
        <v>0</v>
      </c>
      <c r="BS334">
        <v>0</v>
      </c>
      <c r="BT334">
        <v>0</v>
      </c>
      <c r="BU334">
        <v>0</v>
      </c>
      <c r="BV334">
        <v>0</v>
      </c>
      <c r="BW334">
        <v>0</v>
      </c>
    </row>
    <row r="335" spans="1:75" x14ac:dyDescent="0.55000000000000004">
      <c r="A335">
        <v>745</v>
      </c>
      <c r="B335">
        <v>16.170999999999999</v>
      </c>
      <c r="C335">
        <v>805.64409999999998</v>
      </c>
      <c r="D335" t="s">
        <v>999</v>
      </c>
      <c r="E335" t="s">
        <v>1</v>
      </c>
      <c r="F335" t="s">
        <v>2</v>
      </c>
      <c r="G335">
        <v>0.23</v>
      </c>
      <c r="H335" t="b">
        <v>1</v>
      </c>
      <c r="I335">
        <v>11.151</v>
      </c>
      <c r="J335">
        <v>805.64398000000006</v>
      </c>
      <c r="K335" t="s">
        <v>1000</v>
      </c>
      <c r="L335" t="s">
        <v>181</v>
      </c>
      <c r="N335" t="s">
        <v>1001</v>
      </c>
      <c r="O335" t="s">
        <v>1008</v>
      </c>
      <c r="P335">
        <v>410</v>
      </c>
      <c r="Q335" t="b">
        <v>0</v>
      </c>
      <c r="R335" t="b">
        <v>1</v>
      </c>
      <c r="S335" t="b">
        <v>1</v>
      </c>
      <c r="T335" t="s">
        <v>7</v>
      </c>
      <c r="U335" t="b">
        <v>0</v>
      </c>
      <c r="V335" t="b">
        <v>0</v>
      </c>
      <c r="W335">
        <v>745</v>
      </c>
      <c r="X335">
        <v>0</v>
      </c>
      <c r="Y335">
        <v>0</v>
      </c>
      <c r="Z335">
        <v>0.99</v>
      </c>
      <c r="AA335">
        <v>0.81699999999999995</v>
      </c>
      <c r="AB335">
        <v>0.89200000000000002</v>
      </c>
      <c r="AC335">
        <v>0.95099999999999996</v>
      </c>
      <c r="AD335">
        <v>5</v>
      </c>
      <c r="AE335">
        <v>2</v>
      </c>
      <c r="AF335">
        <v>2.5569999999999999</v>
      </c>
      <c r="AG335">
        <v>852.84</v>
      </c>
      <c r="AH335" t="s">
        <v>927</v>
      </c>
      <c r="AI335" t="s">
        <v>1003</v>
      </c>
      <c r="AJ335" t="s">
        <v>1004</v>
      </c>
      <c r="AK335">
        <v>62607</v>
      </c>
      <c r="AL335">
        <v>0</v>
      </c>
      <c r="AM335">
        <v>0</v>
      </c>
      <c r="AN335">
        <v>0</v>
      </c>
      <c r="AO335">
        <v>0</v>
      </c>
      <c r="AP335">
        <v>856424</v>
      </c>
      <c r="AQ335">
        <v>865204</v>
      </c>
      <c r="AR335">
        <v>439896</v>
      </c>
      <c r="AS335">
        <v>513806</v>
      </c>
      <c r="AT335">
        <v>505581</v>
      </c>
      <c r="AU335">
        <v>0</v>
      </c>
      <c r="AV335">
        <v>0</v>
      </c>
      <c r="AW335">
        <v>0</v>
      </c>
      <c r="AX335">
        <v>62607.375</v>
      </c>
      <c r="AY335">
        <v>0</v>
      </c>
      <c r="AZ335">
        <v>0</v>
      </c>
      <c r="BA335">
        <v>0</v>
      </c>
      <c r="BB335">
        <v>0</v>
      </c>
      <c r="BC335">
        <v>856424.25</v>
      </c>
      <c r="BD335">
        <v>865204.4375</v>
      </c>
      <c r="BE335">
        <v>439895.75</v>
      </c>
      <c r="BF335">
        <v>513805.75</v>
      </c>
      <c r="BG335">
        <v>505580.875</v>
      </c>
      <c r="BH335">
        <v>0</v>
      </c>
      <c r="BI335">
        <v>0</v>
      </c>
      <c r="BJ335">
        <v>0</v>
      </c>
      <c r="BK335">
        <v>0</v>
      </c>
      <c r="BL335">
        <v>0</v>
      </c>
      <c r="BM335">
        <v>0</v>
      </c>
      <c r="BN335">
        <v>0</v>
      </c>
      <c r="BO335">
        <v>0</v>
      </c>
      <c r="BP335">
        <v>0</v>
      </c>
      <c r="BQ335">
        <v>0</v>
      </c>
      <c r="BR335">
        <v>0</v>
      </c>
      <c r="BS335">
        <v>0</v>
      </c>
      <c r="BT335">
        <v>0</v>
      </c>
      <c r="BU335">
        <v>0</v>
      </c>
      <c r="BV335">
        <v>0</v>
      </c>
      <c r="BW335">
        <v>0</v>
      </c>
    </row>
    <row r="336" spans="1:75" x14ac:dyDescent="0.55000000000000004">
      <c r="A336">
        <v>760</v>
      </c>
      <c r="B336">
        <v>15.73</v>
      </c>
      <c r="C336">
        <v>806.59186</v>
      </c>
      <c r="D336" t="s">
        <v>1005</v>
      </c>
      <c r="E336" t="s">
        <v>1</v>
      </c>
      <c r="F336" t="s">
        <v>2</v>
      </c>
      <c r="G336">
        <v>0.23</v>
      </c>
      <c r="H336" t="b">
        <v>1</v>
      </c>
      <c r="I336">
        <v>10.433999999999999</v>
      </c>
      <c r="J336">
        <v>806.59167000000002</v>
      </c>
      <c r="K336" t="s">
        <v>1006</v>
      </c>
      <c r="L336" t="s">
        <v>660</v>
      </c>
      <c r="N336" t="s">
        <v>1007</v>
      </c>
      <c r="O336" t="s">
        <v>1017</v>
      </c>
      <c r="P336">
        <v>410</v>
      </c>
      <c r="Q336" t="b">
        <v>0</v>
      </c>
      <c r="R336" t="b">
        <v>1</v>
      </c>
      <c r="S336" t="b">
        <v>1</v>
      </c>
      <c r="T336" t="s">
        <v>7</v>
      </c>
      <c r="U336" t="b">
        <v>0</v>
      </c>
      <c r="V336" t="b">
        <v>0</v>
      </c>
      <c r="W336">
        <v>760</v>
      </c>
      <c r="X336">
        <v>0</v>
      </c>
      <c r="Y336">
        <v>0</v>
      </c>
      <c r="Z336">
        <v>1</v>
      </c>
      <c r="AA336">
        <v>0.85399999999999998</v>
      </c>
      <c r="AB336">
        <v>0.88700000000000001</v>
      </c>
      <c r="AC336">
        <v>0.92800000000000005</v>
      </c>
      <c r="AD336">
        <v>9</v>
      </c>
      <c r="AE336">
        <v>2</v>
      </c>
      <c r="AF336">
        <v>2.556</v>
      </c>
      <c r="AG336">
        <v>6163.22</v>
      </c>
      <c r="AH336" t="s">
        <v>454</v>
      </c>
      <c r="AI336" t="s">
        <v>1009</v>
      </c>
      <c r="AJ336" t="s">
        <v>1010</v>
      </c>
      <c r="AK336">
        <v>614784</v>
      </c>
      <c r="AL336">
        <v>0</v>
      </c>
      <c r="AM336">
        <v>0</v>
      </c>
      <c r="AN336">
        <v>0</v>
      </c>
      <c r="AO336">
        <v>0</v>
      </c>
      <c r="AP336">
        <v>5038313</v>
      </c>
      <c r="AQ336">
        <v>5006977</v>
      </c>
      <c r="AR336">
        <v>2907714</v>
      </c>
      <c r="AS336">
        <v>3280373</v>
      </c>
      <c r="AT336">
        <v>3292774</v>
      </c>
      <c r="AU336">
        <v>0</v>
      </c>
      <c r="AV336">
        <v>0</v>
      </c>
      <c r="AW336">
        <v>0</v>
      </c>
      <c r="AX336">
        <v>614783.9375</v>
      </c>
      <c r="AY336">
        <v>0</v>
      </c>
      <c r="AZ336">
        <v>0</v>
      </c>
      <c r="BA336">
        <v>0</v>
      </c>
      <c r="BB336">
        <v>0</v>
      </c>
      <c r="BC336">
        <v>5038312.5625</v>
      </c>
      <c r="BD336">
        <v>5006977.25</v>
      </c>
      <c r="BE336">
        <v>2907714</v>
      </c>
      <c r="BF336">
        <v>3280372.5625</v>
      </c>
      <c r="BG336">
        <v>3292773.9375</v>
      </c>
      <c r="BH336">
        <v>0</v>
      </c>
      <c r="BI336">
        <v>0</v>
      </c>
      <c r="BJ336">
        <v>0</v>
      </c>
      <c r="BK336">
        <v>0</v>
      </c>
      <c r="BL336">
        <v>0</v>
      </c>
      <c r="BM336">
        <v>0</v>
      </c>
      <c r="BN336">
        <v>0</v>
      </c>
      <c r="BO336">
        <v>0</v>
      </c>
      <c r="BP336">
        <v>0</v>
      </c>
      <c r="BQ336">
        <v>0</v>
      </c>
      <c r="BR336">
        <v>0</v>
      </c>
      <c r="BS336">
        <v>0</v>
      </c>
      <c r="BT336">
        <v>0</v>
      </c>
      <c r="BU336">
        <v>0</v>
      </c>
      <c r="BV336">
        <v>0</v>
      </c>
      <c r="BW336">
        <v>0</v>
      </c>
    </row>
    <row r="337" spans="1:75" x14ac:dyDescent="0.55000000000000004">
      <c r="A337">
        <v>762</v>
      </c>
      <c r="B337">
        <v>17.443999999999999</v>
      </c>
      <c r="C337">
        <v>806.59784000000002</v>
      </c>
      <c r="D337" t="s">
        <v>1005</v>
      </c>
      <c r="E337" t="s">
        <v>1</v>
      </c>
      <c r="F337" t="s">
        <v>2</v>
      </c>
      <c r="G337">
        <v>0.23</v>
      </c>
      <c r="H337" t="b">
        <v>1</v>
      </c>
      <c r="I337">
        <v>10.433999999999999</v>
      </c>
      <c r="J337">
        <v>806.59167000000002</v>
      </c>
      <c r="K337" t="s">
        <v>1006</v>
      </c>
      <c r="L337" t="s">
        <v>660</v>
      </c>
      <c r="N337" t="s">
        <v>1007</v>
      </c>
      <c r="O337" t="s">
        <v>1017</v>
      </c>
      <c r="P337">
        <v>410</v>
      </c>
      <c r="Q337" t="b">
        <v>0</v>
      </c>
      <c r="R337" t="b">
        <v>1</v>
      </c>
      <c r="S337" t="b">
        <v>1</v>
      </c>
      <c r="T337" t="s">
        <v>7</v>
      </c>
      <c r="U337" t="b">
        <v>0</v>
      </c>
      <c r="V337" t="b">
        <v>0</v>
      </c>
      <c r="W337">
        <v>762</v>
      </c>
      <c r="X337">
        <v>0</v>
      </c>
      <c r="Y337">
        <v>0</v>
      </c>
      <c r="Z337">
        <v>0.75</v>
      </c>
      <c r="AA337">
        <v>0.85599999999999998</v>
      </c>
      <c r="AB337">
        <v>0.879</v>
      </c>
      <c r="AC337">
        <v>0.93200000000000005</v>
      </c>
      <c r="AD337">
        <v>9</v>
      </c>
      <c r="AE337">
        <v>2</v>
      </c>
      <c r="AF337">
        <v>2.4300000000000002</v>
      </c>
      <c r="AG337">
        <v>585.32000000000005</v>
      </c>
      <c r="AH337" t="s">
        <v>1011</v>
      </c>
      <c r="AI337" t="s">
        <v>1012</v>
      </c>
      <c r="AJ337" t="s">
        <v>1013</v>
      </c>
      <c r="AK337">
        <v>165147</v>
      </c>
      <c r="AL337">
        <v>0</v>
      </c>
      <c r="AM337">
        <v>0</v>
      </c>
      <c r="AN337">
        <v>0</v>
      </c>
      <c r="AO337">
        <v>0</v>
      </c>
      <c r="AP337">
        <v>240939</v>
      </c>
      <c r="AQ337">
        <v>58423</v>
      </c>
      <c r="AR337">
        <v>263789</v>
      </c>
      <c r="AS337">
        <v>275319</v>
      </c>
      <c r="AT337">
        <v>192252</v>
      </c>
      <c r="AU337">
        <v>0</v>
      </c>
      <c r="AV337">
        <v>0</v>
      </c>
      <c r="AW337">
        <v>0</v>
      </c>
      <c r="AX337">
        <v>165147</v>
      </c>
      <c r="AY337">
        <v>0</v>
      </c>
      <c r="AZ337">
        <v>0</v>
      </c>
      <c r="BA337">
        <v>0</v>
      </c>
      <c r="BB337">
        <v>0</v>
      </c>
      <c r="BC337">
        <v>240938.9375</v>
      </c>
      <c r="BD337">
        <v>58422.875</v>
      </c>
      <c r="BE337">
        <v>263788.625</v>
      </c>
      <c r="BF337">
        <v>275319</v>
      </c>
      <c r="BG337">
        <v>192251.5</v>
      </c>
      <c r="BH337">
        <v>0</v>
      </c>
      <c r="BI337">
        <v>0</v>
      </c>
      <c r="BJ337">
        <v>0</v>
      </c>
      <c r="BK337">
        <v>0</v>
      </c>
      <c r="BL337">
        <v>0</v>
      </c>
      <c r="BM337">
        <v>0</v>
      </c>
      <c r="BN337">
        <v>0</v>
      </c>
      <c r="BO337">
        <v>0</v>
      </c>
      <c r="BP337">
        <v>0</v>
      </c>
      <c r="BQ337">
        <v>0</v>
      </c>
      <c r="BR337">
        <v>0</v>
      </c>
      <c r="BS337">
        <v>0</v>
      </c>
      <c r="BT337">
        <v>0</v>
      </c>
      <c r="BU337">
        <v>0</v>
      </c>
      <c r="BV337">
        <v>0</v>
      </c>
      <c r="BW337">
        <v>0</v>
      </c>
    </row>
    <row r="338" spans="1:75" x14ac:dyDescent="0.55000000000000004">
      <c r="A338">
        <v>764</v>
      </c>
      <c r="B338">
        <v>17.146999999999998</v>
      </c>
      <c r="C338">
        <v>806.60663</v>
      </c>
      <c r="D338" t="s">
        <v>1014</v>
      </c>
      <c r="E338" t="s">
        <v>32</v>
      </c>
      <c r="F338" t="s">
        <v>2</v>
      </c>
      <c r="G338">
        <v>0.38</v>
      </c>
      <c r="H338" t="b">
        <v>1</v>
      </c>
      <c r="I338">
        <v>13.055</v>
      </c>
      <c r="J338">
        <v>806.60686999999996</v>
      </c>
      <c r="K338" t="s">
        <v>1015</v>
      </c>
      <c r="L338" t="s">
        <v>124</v>
      </c>
      <c r="N338" t="s">
        <v>1016</v>
      </c>
      <c r="O338" t="s">
        <v>1026</v>
      </c>
      <c r="P338">
        <v>410</v>
      </c>
      <c r="Q338" t="b">
        <v>0</v>
      </c>
      <c r="R338" t="b">
        <v>1</v>
      </c>
      <c r="S338" t="b">
        <v>1</v>
      </c>
      <c r="T338" t="s">
        <v>7</v>
      </c>
      <c r="U338" t="b">
        <v>0</v>
      </c>
      <c r="V338" t="b">
        <v>0</v>
      </c>
      <c r="W338">
        <v>764</v>
      </c>
      <c r="X338">
        <v>0</v>
      </c>
      <c r="Y338">
        <v>0</v>
      </c>
      <c r="Z338">
        <v>1</v>
      </c>
      <c r="AA338">
        <v>0.71399999999999997</v>
      </c>
      <c r="AB338">
        <v>0.75</v>
      </c>
      <c r="AC338">
        <v>0.92200000000000004</v>
      </c>
      <c r="AD338">
        <v>3</v>
      </c>
      <c r="AE338">
        <v>2</v>
      </c>
      <c r="AF338">
        <v>2.4950000000000001</v>
      </c>
      <c r="AG338">
        <v>430.09</v>
      </c>
      <c r="AH338" t="s">
        <v>927</v>
      </c>
      <c r="AI338" t="s">
        <v>1018</v>
      </c>
      <c r="AJ338" t="s">
        <v>1019</v>
      </c>
      <c r="AK338">
        <v>20151</v>
      </c>
      <c r="AL338">
        <v>0</v>
      </c>
      <c r="AM338">
        <v>0</v>
      </c>
      <c r="AN338">
        <v>0</v>
      </c>
      <c r="AO338">
        <v>0</v>
      </c>
      <c r="AP338">
        <v>249047</v>
      </c>
      <c r="AQ338">
        <v>268236</v>
      </c>
      <c r="AR338">
        <v>147410</v>
      </c>
      <c r="AS338">
        <v>167083</v>
      </c>
      <c r="AT338">
        <v>163232</v>
      </c>
      <c r="AU338">
        <v>0</v>
      </c>
      <c r="AV338">
        <v>0</v>
      </c>
      <c r="AW338">
        <v>0</v>
      </c>
      <c r="AX338">
        <v>20151</v>
      </c>
      <c r="AY338">
        <v>0</v>
      </c>
      <c r="AZ338">
        <v>0</v>
      </c>
      <c r="BA338">
        <v>0</v>
      </c>
      <c r="BB338">
        <v>0</v>
      </c>
      <c r="BC338">
        <v>249047.125</v>
      </c>
      <c r="BD338">
        <v>268236.0625</v>
      </c>
      <c r="BE338">
        <v>147410.4375</v>
      </c>
      <c r="BF338">
        <v>167083.25</v>
      </c>
      <c r="BG338">
        <v>163232.125</v>
      </c>
      <c r="BH338">
        <v>0</v>
      </c>
      <c r="BI338">
        <v>0</v>
      </c>
      <c r="BJ338">
        <v>0</v>
      </c>
      <c r="BK338">
        <v>0</v>
      </c>
      <c r="BL338">
        <v>0</v>
      </c>
      <c r="BM338">
        <v>0</v>
      </c>
      <c r="BN338">
        <v>0</v>
      </c>
      <c r="BO338">
        <v>0</v>
      </c>
      <c r="BP338">
        <v>0</v>
      </c>
      <c r="BQ338">
        <v>0</v>
      </c>
      <c r="BR338">
        <v>0</v>
      </c>
      <c r="BS338">
        <v>0</v>
      </c>
      <c r="BT338">
        <v>0</v>
      </c>
      <c r="BU338">
        <v>0</v>
      </c>
      <c r="BV338">
        <v>0</v>
      </c>
      <c r="BW338">
        <v>0</v>
      </c>
    </row>
    <row r="339" spans="1:75" x14ac:dyDescent="0.55000000000000004">
      <c r="A339">
        <v>766</v>
      </c>
      <c r="B339">
        <v>15.218</v>
      </c>
      <c r="C339">
        <v>806.6087</v>
      </c>
      <c r="D339" t="s">
        <v>1014</v>
      </c>
      <c r="E339" t="s">
        <v>32</v>
      </c>
      <c r="F339" t="s">
        <v>2</v>
      </c>
      <c r="G339">
        <v>0.38</v>
      </c>
      <c r="H339" t="b">
        <v>1</v>
      </c>
      <c r="I339">
        <v>13.055</v>
      </c>
      <c r="J339">
        <v>806.60686999999996</v>
      </c>
      <c r="K339" t="s">
        <v>1015</v>
      </c>
      <c r="L339" t="s">
        <v>124</v>
      </c>
      <c r="N339" t="s">
        <v>1016</v>
      </c>
      <c r="O339" t="s">
        <v>1032</v>
      </c>
      <c r="P339">
        <v>410</v>
      </c>
      <c r="Q339" t="b">
        <v>0</v>
      </c>
      <c r="R339" t="b">
        <v>1</v>
      </c>
      <c r="S339" t="b">
        <v>1</v>
      </c>
      <c r="T339" t="s">
        <v>7</v>
      </c>
      <c r="U339" t="b">
        <v>0</v>
      </c>
      <c r="V339" t="b">
        <v>0</v>
      </c>
      <c r="W339">
        <v>766</v>
      </c>
      <c r="X339">
        <v>0</v>
      </c>
      <c r="Y339">
        <v>0</v>
      </c>
      <c r="Z339">
        <v>0.96</v>
      </c>
      <c r="AA339">
        <v>0.35799999999999998</v>
      </c>
      <c r="AB339">
        <v>0.45100000000000001</v>
      </c>
      <c r="AC339">
        <v>0.95599999999999996</v>
      </c>
      <c r="AD339">
        <v>3</v>
      </c>
      <c r="AE339">
        <v>2</v>
      </c>
      <c r="AF339">
        <v>2.3490000000000002</v>
      </c>
      <c r="AG339">
        <v>171.13</v>
      </c>
      <c r="AH339" t="s">
        <v>927</v>
      </c>
      <c r="AI339" t="s">
        <v>1020</v>
      </c>
      <c r="AJ339" t="s">
        <v>1021</v>
      </c>
      <c r="AK339">
        <v>8379</v>
      </c>
      <c r="AL339">
        <v>0</v>
      </c>
      <c r="AM339">
        <v>0</v>
      </c>
      <c r="AN339">
        <v>0</v>
      </c>
      <c r="AO339">
        <v>0</v>
      </c>
      <c r="AP339">
        <v>102572</v>
      </c>
      <c r="AQ339">
        <v>104498</v>
      </c>
      <c r="AR339">
        <v>56817</v>
      </c>
      <c r="AS339">
        <v>63050</v>
      </c>
      <c r="AT339">
        <v>64034</v>
      </c>
      <c r="AU339">
        <v>0</v>
      </c>
      <c r="AV339">
        <v>0</v>
      </c>
      <c r="AW339">
        <v>0</v>
      </c>
      <c r="AX339">
        <v>8379.1875</v>
      </c>
      <c r="AY339">
        <v>0</v>
      </c>
      <c r="AZ339">
        <v>0</v>
      </c>
      <c r="BA339">
        <v>0</v>
      </c>
      <c r="BB339">
        <v>0</v>
      </c>
      <c r="BC339">
        <v>102571.8125</v>
      </c>
      <c r="BD339">
        <v>104498</v>
      </c>
      <c r="BE339">
        <v>56816.5625</v>
      </c>
      <c r="BF339">
        <v>63049.875</v>
      </c>
      <c r="BG339">
        <v>64033.625</v>
      </c>
      <c r="BH339">
        <v>0</v>
      </c>
      <c r="BI339">
        <v>0</v>
      </c>
      <c r="BJ339">
        <v>0</v>
      </c>
      <c r="BK339">
        <v>0</v>
      </c>
      <c r="BL339">
        <v>0</v>
      </c>
      <c r="BM339">
        <v>0</v>
      </c>
      <c r="BN339">
        <v>0</v>
      </c>
      <c r="BO339">
        <v>0</v>
      </c>
      <c r="BP339">
        <v>0</v>
      </c>
      <c r="BQ339">
        <v>0</v>
      </c>
      <c r="BR339">
        <v>0</v>
      </c>
      <c r="BS339">
        <v>0</v>
      </c>
      <c r="BT339">
        <v>0</v>
      </c>
      <c r="BU339">
        <v>0</v>
      </c>
      <c r="BV339">
        <v>0</v>
      </c>
      <c r="BW339">
        <v>0</v>
      </c>
    </row>
    <row r="340" spans="1:75" x14ac:dyDescent="0.55000000000000004">
      <c r="A340">
        <v>774</v>
      </c>
      <c r="B340">
        <v>11.747999999999999</v>
      </c>
      <c r="C340">
        <v>807.50385000000006</v>
      </c>
      <c r="D340" t="s">
        <v>1022</v>
      </c>
      <c r="E340" t="s">
        <v>32</v>
      </c>
      <c r="F340" t="s">
        <v>2</v>
      </c>
      <c r="G340">
        <v>0.23</v>
      </c>
      <c r="H340" t="b">
        <v>1</v>
      </c>
      <c r="I340">
        <v>8.1229999999999993</v>
      </c>
      <c r="J340">
        <v>807.50292999999999</v>
      </c>
      <c r="K340" t="s">
        <v>1023</v>
      </c>
      <c r="L340" t="s">
        <v>1024</v>
      </c>
      <c r="N340" t="s">
        <v>1025</v>
      </c>
      <c r="O340" t="s">
        <v>1038</v>
      </c>
      <c r="P340">
        <v>410</v>
      </c>
      <c r="Q340" t="b">
        <v>0</v>
      </c>
      <c r="R340" t="b">
        <v>1</v>
      </c>
      <c r="S340" t="b">
        <v>1</v>
      </c>
      <c r="T340" t="s">
        <v>7</v>
      </c>
      <c r="U340" t="b">
        <v>0</v>
      </c>
      <c r="V340" t="b">
        <v>0</v>
      </c>
      <c r="W340">
        <v>774</v>
      </c>
      <c r="X340">
        <v>0</v>
      </c>
      <c r="Y340">
        <v>0</v>
      </c>
      <c r="Z340">
        <v>0.99</v>
      </c>
      <c r="AA340">
        <v>0.314</v>
      </c>
      <c r="AB340">
        <v>0.46500000000000002</v>
      </c>
      <c r="AC340">
        <v>0.82399999999999995</v>
      </c>
      <c r="AD340">
        <v>4</v>
      </c>
      <c r="AE340">
        <v>2</v>
      </c>
      <c r="AF340">
        <v>2.3010000000000002</v>
      </c>
      <c r="AG340">
        <v>864.48</v>
      </c>
      <c r="AH340" t="s">
        <v>927</v>
      </c>
      <c r="AI340" t="s">
        <v>1027</v>
      </c>
      <c r="AJ340" t="s">
        <v>1028</v>
      </c>
      <c r="AK340">
        <v>27718</v>
      </c>
      <c r="AL340">
        <v>0</v>
      </c>
      <c r="AM340">
        <v>0</v>
      </c>
      <c r="AN340">
        <v>0</v>
      </c>
      <c r="AO340">
        <v>0</v>
      </c>
      <c r="AP340">
        <v>384230</v>
      </c>
      <c r="AQ340">
        <v>384636</v>
      </c>
      <c r="AR340">
        <v>210299</v>
      </c>
      <c r="AS340">
        <v>236956</v>
      </c>
      <c r="AT340">
        <v>243560</v>
      </c>
      <c r="AU340">
        <v>0</v>
      </c>
      <c r="AV340">
        <v>0</v>
      </c>
      <c r="AW340">
        <v>0</v>
      </c>
      <c r="AX340">
        <v>27717.625</v>
      </c>
      <c r="AY340">
        <v>0</v>
      </c>
      <c r="AZ340">
        <v>0</v>
      </c>
      <c r="BA340">
        <v>0</v>
      </c>
      <c r="BB340">
        <v>0</v>
      </c>
      <c r="BC340">
        <v>384230.0625</v>
      </c>
      <c r="BD340">
        <v>384635.5</v>
      </c>
      <c r="BE340">
        <v>210299.125</v>
      </c>
      <c r="BF340">
        <v>236956.25</v>
      </c>
      <c r="BG340">
        <v>243559.5</v>
      </c>
      <c r="BH340">
        <v>0</v>
      </c>
      <c r="BI340">
        <v>0</v>
      </c>
      <c r="BJ340">
        <v>0</v>
      </c>
      <c r="BK340">
        <v>0</v>
      </c>
      <c r="BL340">
        <v>0</v>
      </c>
      <c r="BM340">
        <v>0</v>
      </c>
      <c r="BN340">
        <v>0</v>
      </c>
      <c r="BO340">
        <v>0</v>
      </c>
      <c r="BP340">
        <v>0</v>
      </c>
      <c r="BQ340">
        <v>0</v>
      </c>
      <c r="BR340">
        <v>0</v>
      </c>
      <c r="BS340">
        <v>0</v>
      </c>
      <c r="BT340">
        <v>0</v>
      </c>
      <c r="BU340">
        <v>0</v>
      </c>
      <c r="BV340">
        <v>0</v>
      </c>
      <c r="BW340">
        <v>0</v>
      </c>
    </row>
    <row r="341" spans="1:75" x14ac:dyDescent="0.55000000000000004">
      <c r="A341">
        <v>785</v>
      </c>
      <c r="B341">
        <v>12.986000000000001</v>
      </c>
      <c r="C341">
        <v>808.55029000000002</v>
      </c>
      <c r="D341" t="s">
        <v>1029</v>
      </c>
      <c r="E341" t="s">
        <v>1</v>
      </c>
      <c r="F341" t="s">
        <v>2</v>
      </c>
      <c r="G341">
        <v>0.23</v>
      </c>
      <c r="H341" t="b">
        <v>1</v>
      </c>
      <c r="I341">
        <v>9.1069999999999993</v>
      </c>
      <c r="J341">
        <v>808.5498</v>
      </c>
      <c r="K341" t="s">
        <v>1030</v>
      </c>
      <c r="L341" t="s">
        <v>329</v>
      </c>
      <c r="N341" t="s">
        <v>1031</v>
      </c>
      <c r="O341" t="s">
        <v>1044</v>
      </c>
      <c r="P341">
        <v>410</v>
      </c>
      <c r="Q341" t="b">
        <v>0</v>
      </c>
      <c r="R341" t="b">
        <v>1</v>
      </c>
      <c r="S341" t="b">
        <v>1</v>
      </c>
      <c r="T341" t="s">
        <v>7</v>
      </c>
      <c r="U341" t="b">
        <v>0</v>
      </c>
      <c r="V341" t="b">
        <v>0</v>
      </c>
      <c r="W341">
        <v>785</v>
      </c>
      <c r="X341">
        <v>0</v>
      </c>
      <c r="Y341">
        <v>0</v>
      </c>
      <c r="Z341">
        <v>0.99</v>
      </c>
      <c r="AA341">
        <v>0.55900000000000005</v>
      </c>
      <c r="AB341">
        <v>0.72799999999999998</v>
      </c>
      <c r="AC341">
        <v>0.88800000000000001</v>
      </c>
      <c r="AD341">
        <v>4</v>
      </c>
      <c r="AE341">
        <v>2</v>
      </c>
      <c r="AF341">
        <v>2.4380000000000002</v>
      </c>
      <c r="AG341">
        <v>736.4</v>
      </c>
      <c r="AH341" t="s">
        <v>927</v>
      </c>
      <c r="AI341" t="s">
        <v>1033</v>
      </c>
      <c r="AJ341" t="s">
        <v>1034</v>
      </c>
      <c r="AK341">
        <v>27383</v>
      </c>
      <c r="AL341">
        <v>0</v>
      </c>
      <c r="AM341">
        <v>0</v>
      </c>
      <c r="AN341">
        <v>0</v>
      </c>
      <c r="AO341">
        <v>0</v>
      </c>
      <c r="AP341">
        <v>271133</v>
      </c>
      <c r="AQ341">
        <v>55999</v>
      </c>
      <c r="AR341">
        <v>159761</v>
      </c>
      <c r="AS341">
        <v>176020</v>
      </c>
      <c r="AT341">
        <v>180761</v>
      </c>
      <c r="AU341">
        <v>0</v>
      </c>
      <c r="AV341">
        <v>0</v>
      </c>
      <c r="AW341">
        <v>0</v>
      </c>
      <c r="AX341">
        <v>27382.9375</v>
      </c>
      <c r="AY341">
        <v>0</v>
      </c>
      <c r="AZ341">
        <v>0</v>
      </c>
      <c r="BA341">
        <v>0</v>
      </c>
      <c r="BB341">
        <v>0</v>
      </c>
      <c r="BC341">
        <v>271132.6875</v>
      </c>
      <c r="BD341">
        <v>55998.75</v>
      </c>
      <c r="BE341">
        <v>159760.75</v>
      </c>
      <c r="BF341">
        <v>176020.25</v>
      </c>
      <c r="BG341">
        <v>180761.25</v>
      </c>
      <c r="BH341">
        <v>0</v>
      </c>
      <c r="BI341">
        <v>0</v>
      </c>
      <c r="BJ341">
        <v>0</v>
      </c>
      <c r="BK341">
        <v>0</v>
      </c>
      <c r="BL341">
        <v>0</v>
      </c>
      <c r="BM341">
        <v>0</v>
      </c>
      <c r="BN341">
        <v>0</v>
      </c>
      <c r="BO341">
        <v>0</v>
      </c>
      <c r="BP341">
        <v>0</v>
      </c>
      <c r="BQ341">
        <v>0</v>
      </c>
      <c r="BR341">
        <v>0</v>
      </c>
      <c r="BS341">
        <v>0</v>
      </c>
      <c r="BT341">
        <v>0</v>
      </c>
      <c r="BU341">
        <v>0</v>
      </c>
      <c r="BV341">
        <v>0</v>
      </c>
      <c r="BW341">
        <v>0</v>
      </c>
    </row>
    <row r="342" spans="1:75" x14ac:dyDescent="0.55000000000000004">
      <c r="A342">
        <v>792</v>
      </c>
      <c r="B342">
        <v>17.236999999999998</v>
      </c>
      <c r="C342">
        <v>808.62390000000005</v>
      </c>
      <c r="D342" t="s">
        <v>1035</v>
      </c>
      <c r="E342" t="s">
        <v>32</v>
      </c>
      <c r="F342" t="s">
        <v>2</v>
      </c>
      <c r="G342">
        <v>0.38</v>
      </c>
      <c r="H342" t="b">
        <v>1</v>
      </c>
      <c r="I342">
        <v>13.071999999999999</v>
      </c>
      <c r="J342">
        <v>808.62261999999998</v>
      </c>
      <c r="K342" t="s">
        <v>1036</v>
      </c>
      <c r="L342" t="s">
        <v>124</v>
      </c>
      <c r="N342" t="s">
        <v>1037</v>
      </c>
      <c r="O342" t="s">
        <v>1050</v>
      </c>
      <c r="P342">
        <v>410</v>
      </c>
      <c r="Q342" t="b">
        <v>0</v>
      </c>
      <c r="R342" t="b">
        <v>1</v>
      </c>
      <c r="S342" t="b">
        <v>1</v>
      </c>
      <c r="T342" t="s">
        <v>7</v>
      </c>
      <c r="U342" t="b">
        <v>0</v>
      </c>
      <c r="V342" t="b">
        <v>0</v>
      </c>
      <c r="W342">
        <v>792</v>
      </c>
      <c r="X342">
        <v>0</v>
      </c>
      <c r="Y342">
        <v>0</v>
      </c>
      <c r="Z342">
        <v>0.98</v>
      </c>
      <c r="AA342">
        <v>0.51500000000000001</v>
      </c>
      <c r="AB342">
        <v>0.55200000000000005</v>
      </c>
      <c r="AC342">
        <v>0.89900000000000002</v>
      </c>
      <c r="AD342">
        <v>3</v>
      </c>
      <c r="AE342">
        <v>2</v>
      </c>
      <c r="AF342">
        <v>2.391</v>
      </c>
      <c r="AG342">
        <v>284.51</v>
      </c>
      <c r="AH342" t="s">
        <v>927</v>
      </c>
      <c r="AI342" t="s">
        <v>1039</v>
      </c>
      <c r="AJ342" t="s">
        <v>1040</v>
      </c>
      <c r="AK342">
        <v>10212</v>
      </c>
      <c r="AL342">
        <v>0</v>
      </c>
      <c r="AM342">
        <v>0</v>
      </c>
      <c r="AN342">
        <v>0</v>
      </c>
      <c r="AO342">
        <v>0</v>
      </c>
      <c r="AP342">
        <v>131930</v>
      </c>
      <c r="AQ342">
        <v>131713</v>
      </c>
      <c r="AR342">
        <v>68067</v>
      </c>
      <c r="AS342">
        <v>74822</v>
      </c>
      <c r="AT342">
        <v>75702</v>
      </c>
      <c r="AU342">
        <v>0</v>
      </c>
      <c r="AV342">
        <v>0</v>
      </c>
      <c r="AW342">
        <v>0</v>
      </c>
      <c r="AX342">
        <v>10212.3125</v>
      </c>
      <c r="AY342">
        <v>0</v>
      </c>
      <c r="AZ342">
        <v>0</v>
      </c>
      <c r="BA342">
        <v>0</v>
      </c>
      <c r="BB342">
        <v>0</v>
      </c>
      <c r="BC342">
        <v>131929.75</v>
      </c>
      <c r="BD342">
        <v>131713.375</v>
      </c>
      <c r="BE342">
        <v>68066.75</v>
      </c>
      <c r="BF342">
        <v>74822.5</v>
      </c>
      <c r="BG342">
        <v>75701.5625</v>
      </c>
      <c r="BH342">
        <v>0</v>
      </c>
      <c r="BI342">
        <v>0</v>
      </c>
      <c r="BJ342">
        <v>0</v>
      </c>
      <c r="BK342">
        <v>0</v>
      </c>
      <c r="BL342">
        <v>0</v>
      </c>
      <c r="BM342">
        <v>0</v>
      </c>
      <c r="BN342">
        <v>0</v>
      </c>
      <c r="BO342">
        <v>0</v>
      </c>
      <c r="BP342">
        <v>0</v>
      </c>
      <c r="BQ342">
        <v>0</v>
      </c>
      <c r="BR342">
        <v>0</v>
      </c>
      <c r="BS342">
        <v>0</v>
      </c>
      <c r="BT342">
        <v>0</v>
      </c>
      <c r="BU342">
        <v>0</v>
      </c>
      <c r="BV342">
        <v>0</v>
      </c>
      <c r="BW342">
        <v>0</v>
      </c>
    </row>
    <row r="343" spans="1:75" x14ac:dyDescent="0.55000000000000004">
      <c r="A343">
        <v>793</v>
      </c>
      <c r="B343">
        <v>16.792000000000002</v>
      </c>
      <c r="C343">
        <v>808.66741999999999</v>
      </c>
      <c r="D343" t="s">
        <v>1041</v>
      </c>
      <c r="E343" t="s">
        <v>32</v>
      </c>
      <c r="F343" t="s">
        <v>2</v>
      </c>
      <c r="G343">
        <v>0.46</v>
      </c>
      <c r="H343" t="b">
        <v>1</v>
      </c>
      <c r="I343">
        <v>12.228</v>
      </c>
      <c r="J343">
        <v>808.66718000000003</v>
      </c>
      <c r="K343" t="s">
        <v>1042</v>
      </c>
      <c r="L343" t="s">
        <v>650</v>
      </c>
      <c r="N343" t="s">
        <v>1043</v>
      </c>
      <c r="O343" t="s">
        <v>1056</v>
      </c>
      <c r="P343">
        <v>410</v>
      </c>
      <c r="Q343" t="b">
        <v>0</v>
      </c>
      <c r="R343" t="b">
        <v>1</v>
      </c>
      <c r="S343" t="b">
        <v>1</v>
      </c>
      <c r="T343" t="s">
        <v>7</v>
      </c>
      <c r="U343" t="b">
        <v>0</v>
      </c>
      <c r="V343" t="b">
        <v>0</v>
      </c>
      <c r="W343">
        <v>793</v>
      </c>
      <c r="X343">
        <v>0</v>
      </c>
      <c r="Y343">
        <v>0</v>
      </c>
      <c r="Z343">
        <v>0.99</v>
      </c>
      <c r="AA343">
        <v>0.40500000000000003</v>
      </c>
      <c r="AB343">
        <v>0.63700000000000001</v>
      </c>
      <c r="AC343">
        <v>0.874</v>
      </c>
      <c r="AD343">
        <v>5</v>
      </c>
      <c r="AE343">
        <v>2</v>
      </c>
      <c r="AF343">
        <v>2.38</v>
      </c>
      <c r="AG343">
        <v>1116.49</v>
      </c>
      <c r="AH343" t="s">
        <v>927</v>
      </c>
      <c r="AI343" t="s">
        <v>1045</v>
      </c>
      <c r="AJ343" t="s">
        <v>1046</v>
      </c>
      <c r="AK343">
        <v>34581</v>
      </c>
      <c r="AL343">
        <v>0</v>
      </c>
      <c r="AM343">
        <v>0</v>
      </c>
      <c r="AN343">
        <v>0</v>
      </c>
      <c r="AO343">
        <v>0</v>
      </c>
      <c r="AP343">
        <v>512682</v>
      </c>
      <c r="AQ343">
        <v>518230</v>
      </c>
      <c r="AR343">
        <v>270276</v>
      </c>
      <c r="AS343">
        <v>290247</v>
      </c>
      <c r="AT343">
        <v>299307</v>
      </c>
      <c r="AU343">
        <v>0</v>
      </c>
      <c r="AV343">
        <v>0</v>
      </c>
      <c r="AW343">
        <v>0</v>
      </c>
      <c r="AX343">
        <v>34581.25</v>
      </c>
      <c r="AY343">
        <v>0</v>
      </c>
      <c r="AZ343">
        <v>0</v>
      </c>
      <c r="BA343">
        <v>0</v>
      </c>
      <c r="BB343">
        <v>0</v>
      </c>
      <c r="BC343">
        <v>512682.375</v>
      </c>
      <c r="BD343">
        <v>518229.6875</v>
      </c>
      <c r="BE343">
        <v>270275.5625</v>
      </c>
      <c r="BF343">
        <v>290247.3125</v>
      </c>
      <c r="BG343">
        <v>299307.375</v>
      </c>
      <c r="BH343">
        <v>0</v>
      </c>
      <c r="BI343">
        <v>0</v>
      </c>
      <c r="BJ343">
        <v>0</v>
      </c>
      <c r="BK343">
        <v>0</v>
      </c>
      <c r="BL343">
        <v>0</v>
      </c>
      <c r="BM343">
        <v>0</v>
      </c>
      <c r="BN343">
        <v>0</v>
      </c>
      <c r="BO343">
        <v>0</v>
      </c>
      <c r="BP343">
        <v>0</v>
      </c>
      <c r="BQ343">
        <v>0</v>
      </c>
      <c r="BR343">
        <v>0</v>
      </c>
      <c r="BS343">
        <v>0</v>
      </c>
      <c r="BT343">
        <v>0</v>
      </c>
      <c r="BU343">
        <v>0</v>
      </c>
      <c r="BV343">
        <v>0</v>
      </c>
      <c r="BW343">
        <v>0</v>
      </c>
    </row>
    <row r="344" spans="1:75" x14ac:dyDescent="0.55000000000000004">
      <c r="A344">
        <v>797</v>
      </c>
      <c r="B344">
        <v>13.105</v>
      </c>
      <c r="C344">
        <v>809.51922999999999</v>
      </c>
      <c r="D344" t="s">
        <v>1047</v>
      </c>
      <c r="E344" t="s">
        <v>32</v>
      </c>
      <c r="F344" t="s">
        <v>2</v>
      </c>
      <c r="G344">
        <v>0.38</v>
      </c>
      <c r="H344" t="b">
        <v>1</v>
      </c>
      <c r="I344">
        <v>8.3209999999999997</v>
      </c>
      <c r="J344">
        <v>809.51862000000006</v>
      </c>
      <c r="K344" t="s">
        <v>1048</v>
      </c>
      <c r="L344" t="s">
        <v>1024</v>
      </c>
      <c r="N344" t="s">
        <v>1049</v>
      </c>
      <c r="O344" t="s">
        <v>1063</v>
      </c>
      <c r="P344">
        <v>410</v>
      </c>
      <c r="Q344" t="b">
        <v>0</v>
      </c>
      <c r="R344" t="b">
        <v>1</v>
      </c>
      <c r="S344" t="b">
        <v>1</v>
      </c>
      <c r="T344" t="s">
        <v>7</v>
      </c>
      <c r="U344" t="b">
        <v>0</v>
      </c>
      <c r="V344" t="b">
        <v>0</v>
      </c>
      <c r="W344">
        <v>797</v>
      </c>
      <c r="X344">
        <v>0</v>
      </c>
      <c r="Y344">
        <v>0</v>
      </c>
      <c r="Z344">
        <v>0.99</v>
      </c>
      <c r="AA344">
        <v>0.498</v>
      </c>
      <c r="AB344">
        <v>0.62</v>
      </c>
      <c r="AC344">
        <v>0.93600000000000005</v>
      </c>
      <c r="AD344">
        <v>6</v>
      </c>
      <c r="AE344">
        <v>2</v>
      </c>
      <c r="AF344">
        <v>2.4209999999999998</v>
      </c>
      <c r="AG344">
        <v>1175.19</v>
      </c>
      <c r="AH344" t="s">
        <v>927</v>
      </c>
      <c r="AI344" t="s">
        <v>1051</v>
      </c>
      <c r="AJ344" t="s">
        <v>1052</v>
      </c>
      <c r="AK344">
        <v>20550</v>
      </c>
      <c r="AL344">
        <v>0</v>
      </c>
      <c r="AM344">
        <v>0</v>
      </c>
      <c r="AN344">
        <v>0</v>
      </c>
      <c r="AO344">
        <v>0</v>
      </c>
      <c r="AP344">
        <v>329916</v>
      </c>
      <c r="AQ344">
        <v>334076</v>
      </c>
      <c r="AR344">
        <v>167914</v>
      </c>
      <c r="AS344">
        <v>197078</v>
      </c>
      <c r="AT344">
        <v>200175</v>
      </c>
      <c r="AU344">
        <v>0</v>
      </c>
      <c r="AV344">
        <v>0</v>
      </c>
      <c r="AW344">
        <v>0</v>
      </c>
      <c r="AX344">
        <v>20549.625</v>
      </c>
      <c r="AY344">
        <v>0</v>
      </c>
      <c r="AZ344">
        <v>0</v>
      </c>
      <c r="BA344">
        <v>0</v>
      </c>
      <c r="BB344">
        <v>0</v>
      </c>
      <c r="BC344">
        <v>329916.0625</v>
      </c>
      <c r="BD344">
        <v>334076.5</v>
      </c>
      <c r="BE344">
        <v>167914.375</v>
      </c>
      <c r="BF344">
        <v>197077.6875</v>
      </c>
      <c r="BG344">
        <v>200174.6875</v>
      </c>
      <c r="BH344">
        <v>0</v>
      </c>
      <c r="BI344">
        <v>0</v>
      </c>
      <c r="BJ344">
        <v>0</v>
      </c>
      <c r="BK344">
        <v>0</v>
      </c>
      <c r="BL344">
        <v>0</v>
      </c>
      <c r="BM344">
        <v>0</v>
      </c>
      <c r="BN344">
        <v>0</v>
      </c>
      <c r="BO344">
        <v>0</v>
      </c>
      <c r="BP344">
        <v>0</v>
      </c>
      <c r="BQ344">
        <v>0</v>
      </c>
      <c r="BR344">
        <v>0</v>
      </c>
      <c r="BS344">
        <v>0</v>
      </c>
      <c r="BT344">
        <v>0</v>
      </c>
      <c r="BU344">
        <v>0</v>
      </c>
      <c r="BV344">
        <v>0</v>
      </c>
      <c r="BW344">
        <v>0</v>
      </c>
    </row>
    <row r="345" spans="1:75" x14ac:dyDescent="0.55000000000000004">
      <c r="A345">
        <v>804</v>
      </c>
      <c r="B345">
        <v>15.579000000000001</v>
      </c>
      <c r="C345">
        <v>810.50554999999997</v>
      </c>
      <c r="D345" t="s">
        <v>1053</v>
      </c>
      <c r="E345" t="s">
        <v>32</v>
      </c>
      <c r="F345" t="s">
        <v>2</v>
      </c>
      <c r="G345">
        <v>0.15</v>
      </c>
      <c r="H345" t="b">
        <v>1</v>
      </c>
      <c r="I345">
        <v>7.9850000000000003</v>
      </c>
      <c r="J345">
        <v>810.50787000000003</v>
      </c>
      <c r="K345" t="s">
        <v>1054</v>
      </c>
      <c r="L345" t="s">
        <v>209</v>
      </c>
      <c r="N345" t="s">
        <v>1055</v>
      </c>
      <c r="O345" t="s">
        <v>1068</v>
      </c>
      <c r="P345">
        <v>410</v>
      </c>
      <c r="Q345" t="b">
        <v>0</v>
      </c>
      <c r="R345" t="b">
        <v>1</v>
      </c>
      <c r="S345" t="b">
        <v>1</v>
      </c>
      <c r="T345" t="s">
        <v>7</v>
      </c>
      <c r="U345" t="b">
        <v>0</v>
      </c>
      <c r="V345" t="b">
        <v>0</v>
      </c>
      <c r="W345">
        <v>804</v>
      </c>
      <c r="X345">
        <v>0</v>
      </c>
      <c r="Y345">
        <v>0</v>
      </c>
      <c r="Z345">
        <v>0.96</v>
      </c>
      <c r="AA345">
        <v>0.17899999999999999</v>
      </c>
      <c r="AB345">
        <v>0.17199999999999999</v>
      </c>
      <c r="AC345">
        <v>0.78200000000000003</v>
      </c>
      <c r="AD345">
        <v>1</v>
      </c>
      <c r="AE345">
        <v>2</v>
      </c>
      <c r="AF345">
        <v>2.1760000000000002</v>
      </c>
      <c r="AG345">
        <v>118.52</v>
      </c>
      <c r="AH345" t="s">
        <v>944</v>
      </c>
      <c r="AI345" t="s">
        <v>1057</v>
      </c>
      <c r="AJ345" t="s">
        <v>1058</v>
      </c>
      <c r="AK345">
        <v>687</v>
      </c>
      <c r="AL345">
        <v>0</v>
      </c>
      <c r="AM345">
        <v>0</v>
      </c>
      <c r="AN345">
        <v>0</v>
      </c>
      <c r="AO345">
        <v>0</v>
      </c>
      <c r="AP345">
        <v>35035</v>
      </c>
      <c r="AQ345">
        <v>32635</v>
      </c>
      <c r="AR345">
        <v>22288</v>
      </c>
      <c r="AS345">
        <v>28275</v>
      </c>
      <c r="AT345">
        <v>24987</v>
      </c>
      <c r="AU345">
        <v>0</v>
      </c>
      <c r="AV345">
        <v>0</v>
      </c>
      <c r="AW345">
        <v>0</v>
      </c>
      <c r="AX345">
        <v>687.0625</v>
      </c>
      <c r="AY345">
        <v>0</v>
      </c>
      <c r="AZ345">
        <v>0</v>
      </c>
      <c r="BA345">
        <v>0</v>
      </c>
      <c r="BB345">
        <v>0</v>
      </c>
      <c r="BC345">
        <v>35035.1875</v>
      </c>
      <c r="BD345">
        <v>32635.375</v>
      </c>
      <c r="BE345">
        <v>22288.375</v>
      </c>
      <c r="BF345">
        <v>28275.125</v>
      </c>
      <c r="BG345">
        <v>24986.75</v>
      </c>
      <c r="BH345">
        <v>0</v>
      </c>
      <c r="BI345">
        <v>0</v>
      </c>
      <c r="BJ345">
        <v>0</v>
      </c>
      <c r="BK345">
        <v>0</v>
      </c>
      <c r="BL345">
        <v>0</v>
      </c>
      <c r="BM345">
        <v>0</v>
      </c>
      <c r="BN345">
        <v>0</v>
      </c>
      <c r="BO345">
        <v>0</v>
      </c>
      <c r="BP345">
        <v>0</v>
      </c>
      <c r="BQ345">
        <v>0</v>
      </c>
      <c r="BR345">
        <v>0</v>
      </c>
      <c r="BS345">
        <v>0</v>
      </c>
      <c r="BT345">
        <v>0</v>
      </c>
      <c r="BU345">
        <v>0</v>
      </c>
      <c r="BV345">
        <v>0</v>
      </c>
      <c r="BW345">
        <v>0</v>
      </c>
    </row>
    <row r="346" spans="1:75" x14ac:dyDescent="0.55000000000000004">
      <c r="A346">
        <v>807</v>
      </c>
      <c r="B346">
        <v>13.44</v>
      </c>
      <c r="C346">
        <v>810.52844000000005</v>
      </c>
      <c r="D346" t="s">
        <v>1059</v>
      </c>
      <c r="E346" t="s">
        <v>32</v>
      </c>
      <c r="F346" t="s">
        <v>2</v>
      </c>
      <c r="G346">
        <v>0.38</v>
      </c>
      <c r="H346" t="b">
        <v>1</v>
      </c>
      <c r="I346">
        <v>8.5649999999999995</v>
      </c>
      <c r="J346">
        <v>810.52910999999995</v>
      </c>
      <c r="K346" t="s">
        <v>1060</v>
      </c>
      <c r="L346" t="s">
        <v>1061</v>
      </c>
      <c r="N346" t="s">
        <v>1062</v>
      </c>
      <c r="O346" t="s">
        <v>1073</v>
      </c>
      <c r="P346">
        <v>410</v>
      </c>
      <c r="Q346" t="b">
        <v>0</v>
      </c>
      <c r="R346" t="b">
        <v>1</v>
      </c>
      <c r="S346" t="b">
        <v>1</v>
      </c>
      <c r="T346" t="s">
        <v>7</v>
      </c>
      <c r="U346" t="b">
        <v>0</v>
      </c>
      <c r="V346" t="b">
        <v>0</v>
      </c>
      <c r="W346">
        <v>807</v>
      </c>
      <c r="X346">
        <v>0</v>
      </c>
      <c r="Y346">
        <v>0</v>
      </c>
      <c r="Z346">
        <v>1</v>
      </c>
      <c r="AA346">
        <v>0.46300000000000002</v>
      </c>
      <c r="AB346">
        <v>0.60399999999999998</v>
      </c>
      <c r="AC346">
        <v>0.91400000000000003</v>
      </c>
      <c r="AD346">
        <v>6</v>
      </c>
      <c r="AE346">
        <v>2</v>
      </c>
      <c r="AF346">
        <v>2.4060000000000001</v>
      </c>
      <c r="AG346">
        <v>311.60000000000002</v>
      </c>
      <c r="AH346" t="s">
        <v>1011</v>
      </c>
      <c r="AI346" t="s">
        <v>1064</v>
      </c>
      <c r="AJ346" t="s">
        <v>1065</v>
      </c>
      <c r="AK346">
        <v>12721</v>
      </c>
      <c r="AL346">
        <v>0</v>
      </c>
      <c r="AM346">
        <v>0</v>
      </c>
      <c r="AN346">
        <v>0</v>
      </c>
      <c r="AO346">
        <v>0</v>
      </c>
      <c r="AP346">
        <v>99640</v>
      </c>
      <c r="AQ346">
        <v>110430</v>
      </c>
      <c r="AR346">
        <v>53520</v>
      </c>
      <c r="AS346">
        <v>67008</v>
      </c>
      <c r="AT346">
        <v>62932</v>
      </c>
      <c r="AU346">
        <v>0</v>
      </c>
      <c r="AV346">
        <v>0</v>
      </c>
      <c r="AW346">
        <v>0</v>
      </c>
      <c r="AX346">
        <v>12721.375</v>
      </c>
      <c r="AY346">
        <v>0</v>
      </c>
      <c r="AZ346">
        <v>0</v>
      </c>
      <c r="BA346">
        <v>0</v>
      </c>
      <c r="BB346">
        <v>0</v>
      </c>
      <c r="BC346">
        <v>99640.3125</v>
      </c>
      <c r="BD346">
        <v>110429.9375</v>
      </c>
      <c r="BE346">
        <v>53520.5</v>
      </c>
      <c r="BF346">
        <v>67008.125</v>
      </c>
      <c r="BG346">
        <v>62931.5625</v>
      </c>
      <c r="BH346">
        <v>0</v>
      </c>
      <c r="BI346">
        <v>0</v>
      </c>
      <c r="BJ346">
        <v>0</v>
      </c>
      <c r="BK346">
        <v>0</v>
      </c>
      <c r="BL346">
        <v>0</v>
      </c>
      <c r="BM346">
        <v>0</v>
      </c>
      <c r="BN346">
        <v>0</v>
      </c>
      <c r="BO346">
        <v>0</v>
      </c>
      <c r="BP346">
        <v>0</v>
      </c>
      <c r="BQ346">
        <v>0</v>
      </c>
      <c r="BR346">
        <v>0</v>
      </c>
      <c r="BS346">
        <v>0</v>
      </c>
      <c r="BT346">
        <v>0</v>
      </c>
      <c r="BU346">
        <v>0</v>
      </c>
      <c r="BV346">
        <v>0</v>
      </c>
      <c r="BW346">
        <v>0</v>
      </c>
    </row>
    <row r="347" spans="1:75" x14ac:dyDescent="0.55000000000000004">
      <c r="A347">
        <v>811</v>
      </c>
      <c r="B347">
        <v>13.946</v>
      </c>
      <c r="C347">
        <v>810.56597999999997</v>
      </c>
      <c r="D347" t="s">
        <v>1066</v>
      </c>
      <c r="E347" t="s">
        <v>1</v>
      </c>
      <c r="F347" t="s">
        <v>2</v>
      </c>
      <c r="G347">
        <v>0.23</v>
      </c>
      <c r="H347" t="b">
        <v>1</v>
      </c>
      <c r="I347">
        <v>9.6669999999999998</v>
      </c>
      <c r="J347">
        <v>810.56542999999999</v>
      </c>
      <c r="K347" t="s">
        <v>576</v>
      </c>
      <c r="L347" t="s">
        <v>329</v>
      </c>
      <c r="N347" t="s">
        <v>1067</v>
      </c>
      <c r="O347" t="s">
        <v>1068</v>
      </c>
      <c r="P347">
        <v>410</v>
      </c>
      <c r="Q347" t="b">
        <v>0</v>
      </c>
      <c r="R347" t="b">
        <v>1</v>
      </c>
      <c r="S347" t="b">
        <v>1</v>
      </c>
      <c r="T347" t="s">
        <v>7</v>
      </c>
      <c r="U347" t="b">
        <v>0</v>
      </c>
      <c r="V347" t="b">
        <v>0</v>
      </c>
      <c r="W347">
        <v>811</v>
      </c>
      <c r="X347">
        <v>0</v>
      </c>
      <c r="Y347">
        <v>0</v>
      </c>
      <c r="Z347">
        <v>0.99</v>
      </c>
      <c r="AA347">
        <v>0.84299999999999997</v>
      </c>
      <c r="AB347">
        <v>0.88700000000000001</v>
      </c>
      <c r="AC347">
        <v>0.92</v>
      </c>
      <c r="AD347">
        <v>6</v>
      </c>
      <c r="AE347">
        <v>2</v>
      </c>
      <c r="AF347">
        <v>2.5470000000000002</v>
      </c>
      <c r="AG347">
        <v>27188.93</v>
      </c>
      <c r="AH347" t="s">
        <v>454</v>
      </c>
      <c r="AI347" t="s">
        <v>1069</v>
      </c>
      <c r="AJ347" t="s">
        <v>1070</v>
      </c>
      <c r="AK347">
        <v>1356189</v>
      </c>
      <c r="AL347">
        <v>0</v>
      </c>
      <c r="AM347">
        <v>0</v>
      </c>
      <c r="AN347">
        <v>0</v>
      </c>
      <c r="AO347">
        <v>0</v>
      </c>
      <c r="AP347">
        <v>9896588</v>
      </c>
      <c r="AQ347">
        <v>1217346</v>
      </c>
      <c r="AR347">
        <v>6079615</v>
      </c>
      <c r="AS347">
        <v>6626903</v>
      </c>
      <c r="AT347">
        <v>6535891</v>
      </c>
      <c r="AU347">
        <v>0</v>
      </c>
      <c r="AV347">
        <v>0</v>
      </c>
      <c r="AW347">
        <v>0</v>
      </c>
      <c r="AX347">
        <v>1356189.1875</v>
      </c>
      <c r="AY347">
        <v>0</v>
      </c>
      <c r="AZ347">
        <v>0</v>
      </c>
      <c r="BA347">
        <v>0</v>
      </c>
      <c r="BB347">
        <v>0</v>
      </c>
      <c r="BC347">
        <v>9896588.25</v>
      </c>
      <c r="BD347">
        <v>1217346.0625</v>
      </c>
      <c r="BE347">
        <v>6079614.625</v>
      </c>
      <c r="BF347">
        <v>6626903.1875</v>
      </c>
      <c r="BG347">
        <v>6535891.4375</v>
      </c>
      <c r="BH347">
        <v>0</v>
      </c>
      <c r="BI347">
        <v>0</v>
      </c>
      <c r="BJ347">
        <v>0</v>
      </c>
      <c r="BK347">
        <v>0</v>
      </c>
      <c r="BL347">
        <v>0</v>
      </c>
      <c r="BM347">
        <v>0</v>
      </c>
      <c r="BN347">
        <v>0</v>
      </c>
      <c r="BO347">
        <v>0</v>
      </c>
      <c r="BP347">
        <v>0</v>
      </c>
      <c r="BQ347">
        <v>0</v>
      </c>
      <c r="BR347">
        <v>0</v>
      </c>
      <c r="BS347">
        <v>0</v>
      </c>
      <c r="BT347">
        <v>0</v>
      </c>
      <c r="BU347">
        <v>0</v>
      </c>
      <c r="BV347">
        <v>0</v>
      </c>
      <c r="BW347">
        <v>0</v>
      </c>
    </row>
    <row r="348" spans="1:75" x14ac:dyDescent="0.55000000000000004">
      <c r="A348">
        <v>813</v>
      </c>
      <c r="B348">
        <v>13.249000000000001</v>
      </c>
      <c r="C348">
        <v>810.56628000000001</v>
      </c>
      <c r="D348" t="s">
        <v>1071</v>
      </c>
      <c r="E348" t="s">
        <v>1</v>
      </c>
      <c r="F348" t="s">
        <v>2</v>
      </c>
      <c r="G348">
        <v>0.15</v>
      </c>
      <c r="H348" t="b">
        <v>1</v>
      </c>
      <c r="I348">
        <v>9.1669999999999998</v>
      </c>
      <c r="J348">
        <v>810.56542999999999</v>
      </c>
      <c r="K348" t="s">
        <v>576</v>
      </c>
      <c r="L348" t="s">
        <v>329</v>
      </c>
      <c r="N348" t="s">
        <v>1072</v>
      </c>
      <c r="O348" t="s">
        <v>1081</v>
      </c>
      <c r="P348">
        <v>410</v>
      </c>
      <c r="Q348" t="b">
        <v>0</v>
      </c>
      <c r="R348" t="b">
        <v>1</v>
      </c>
      <c r="S348" t="b">
        <v>1</v>
      </c>
      <c r="T348" t="s">
        <v>7</v>
      </c>
      <c r="U348" t="b">
        <v>0</v>
      </c>
      <c r="V348" t="b">
        <v>0</v>
      </c>
      <c r="W348">
        <v>813</v>
      </c>
      <c r="X348">
        <v>0</v>
      </c>
      <c r="Y348">
        <v>0</v>
      </c>
      <c r="Z348">
        <v>0.99</v>
      </c>
      <c r="AA348">
        <v>0.53</v>
      </c>
      <c r="AB348">
        <v>0.64900000000000002</v>
      </c>
      <c r="AC348">
        <v>0.94299999999999995</v>
      </c>
      <c r="AD348">
        <v>5</v>
      </c>
      <c r="AE348">
        <v>2</v>
      </c>
      <c r="AF348">
        <v>2.44</v>
      </c>
      <c r="AG348">
        <v>725.12</v>
      </c>
      <c r="AH348" t="s">
        <v>927</v>
      </c>
      <c r="AI348" t="s">
        <v>1074</v>
      </c>
      <c r="AJ348" t="s">
        <v>1075</v>
      </c>
      <c r="AK348">
        <v>40546</v>
      </c>
      <c r="AL348">
        <v>0</v>
      </c>
      <c r="AM348">
        <v>0</v>
      </c>
      <c r="AN348">
        <v>0</v>
      </c>
      <c r="AO348">
        <v>0</v>
      </c>
      <c r="AP348">
        <v>431296</v>
      </c>
      <c r="AQ348">
        <v>66404</v>
      </c>
      <c r="AR348">
        <v>214204</v>
      </c>
      <c r="AS348">
        <v>267840</v>
      </c>
      <c r="AT348">
        <v>259433</v>
      </c>
      <c r="AU348">
        <v>0</v>
      </c>
      <c r="AV348">
        <v>0</v>
      </c>
      <c r="AW348">
        <v>0</v>
      </c>
      <c r="AX348">
        <v>40546</v>
      </c>
      <c r="AY348">
        <v>0</v>
      </c>
      <c r="AZ348">
        <v>0</v>
      </c>
      <c r="BA348">
        <v>0</v>
      </c>
      <c r="BB348">
        <v>0</v>
      </c>
      <c r="BC348">
        <v>431295.75</v>
      </c>
      <c r="BD348">
        <v>66404.0625</v>
      </c>
      <c r="BE348">
        <v>214203.9375</v>
      </c>
      <c r="BF348">
        <v>267840.5</v>
      </c>
      <c r="BG348">
        <v>259433.25</v>
      </c>
      <c r="BH348">
        <v>0</v>
      </c>
      <c r="BI348">
        <v>0</v>
      </c>
      <c r="BJ348">
        <v>0</v>
      </c>
      <c r="BK348">
        <v>0</v>
      </c>
      <c r="BL348">
        <v>0</v>
      </c>
      <c r="BM348">
        <v>0</v>
      </c>
      <c r="BN348">
        <v>0</v>
      </c>
      <c r="BO348">
        <v>0</v>
      </c>
      <c r="BP348">
        <v>0</v>
      </c>
      <c r="BQ348">
        <v>0</v>
      </c>
      <c r="BR348">
        <v>0</v>
      </c>
      <c r="BS348">
        <v>0</v>
      </c>
      <c r="BT348">
        <v>0</v>
      </c>
      <c r="BU348">
        <v>0</v>
      </c>
      <c r="BV348">
        <v>0</v>
      </c>
      <c r="BW348">
        <v>0</v>
      </c>
    </row>
    <row r="349" spans="1:75" x14ac:dyDescent="0.55000000000000004">
      <c r="A349">
        <v>814</v>
      </c>
      <c r="B349">
        <v>13.859</v>
      </c>
      <c r="C349">
        <v>810.56646999999998</v>
      </c>
      <c r="D349" t="s">
        <v>1066</v>
      </c>
      <c r="E349" t="s">
        <v>1</v>
      </c>
      <c r="F349" t="s">
        <v>2</v>
      </c>
      <c r="G349">
        <v>0.23</v>
      </c>
      <c r="H349" t="b">
        <v>1</v>
      </c>
      <c r="I349">
        <v>9.6669999999999998</v>
      </c>
      <c r="J349">
        <v>810.56542999999999</v>
      </c>
      <c r="K349" t="s">
        <v>576</v>
      </c>
      <c r="L349" t="s">
        <v>329</v>
      </c>
      <c r="N349" t="s">
        <v>1067</v>
      </c>
      <c r="O349" t="s">
        <v>1086</v>
      </c>
      <c r="P349">
        <v>410</v>
      </c>
      <c r="Q349" t="b">
        <v>0</v>
      </c>
      <c r="R349" t="b">
        <v>1</v>
      </c>
      <c r="S349" t="b">
        <v>1</v>
      </c>
      <c r="T349" t="s">
        <v>7</v>
      </c>
      <c r="U349" t="b">
        <v>0</v>
      </c>
      <c r="V349" t="b">
        <v>0</v>
      </c>
      <c r="W349">
        <v>814</v>
      </c>
      <c r="X349">
        <v>0</v>
      </c>
      <c r="Y349">
        <v>0</v>
      </c>
      <c r="Z349">
        <v>1</v>
      </c>
      <c r="AA349">
        <v>0.40899999999999997</v>
      </c>
      <c r="AB349">
        <v>0.55000000000000004</v>
      </c>
      <c r="AC349">
        <v>0.88400000000000001</v>
      </c>
      <c r="AD349">
        <v>4</v>
      </c>
      <c r="AE349">
        <v>2</v>
      </c>
      <c r="AF349">
        <v>2.37</v>
      </c>
      <c r="AG349">
        <v>29756.94</v>
      </c>
      <c r="AH349" t="s">
        <v>990</v>
      </c>
      <c r="AI349" t="s">
        <v>1076</v>
      </c>
      <c r="AJ349" t="s">
        <v>1077</v>
      </c>
      <c r="AK349">
        <v>156736</v>
      </c>
      <c r="AL349">
        <v>0</v>
      </c>
      <c r="AM349">
        <v>0</v>
      </c>
      <c r="AN349">
        <v>0</v>
      </c>
      <c r="AO349">
        <v>0</v>
      </c>
      <c r="AP349">
        <v>9896588</v>
      </c>
      <c r="AQ349">
        <v>9847099</v>
      </c>
      <c r="AR349">
        <v>6079615</v>
      </c>
      <c r="AS349">
        <v>6626903</v>
      </c>
      <c r="AT349">
        <v>6535891</v>
      </c>
      <c r="AU349">
        <v>0</v>
      </c>
      <c r="AV349">
        <v>0</v>
      </c>
      <c r="AW349">
        <v>0</v>
      </c>
      <c r="AX349">
        <v>156735.75</v>
      </c>
      <c r="AY349">
        <v>0</v>
      </c>
      <c r="AZ349">
        <v>0</v>
      </c>
      <c r="BA349">
        <v>0</v>
      </c>
      <c r="BB349">
        <v>0</v>
      </c>
      <c r="BC349">
        <v>9896588.25</v>
      </c>
      <c r="BD349">
        <v>9847098.5625</v>
      </c>
      <c r="BE349">
        <v>6079614.625</v>
      </c>
      <c r="BF349">
        <v>6626903.1875</v>
      </c>
      <c r="BG349">
        <v>6535891.4375</v>
      </c>
      <c r="BH349">
        <v>0</v>
      </c>
      <c r="BI349">
        <v>0</v>
      </c>
      <c r="BJ349">
        <v>0</v>
      </c>
      <c r="BK349">
        <v>0</v>
      </c>
      <c r="BL349">
        <v>0</v>
      </c>
      <c r="BM349">
        <v>0</v>
      </c>
      <c r="BN349">
        <v>0</v>
      </c>
      <c r="BO349">
        <v>0</v>
      </c>
      <c r="BP349">
        <v>0</v>
      </c>
      <c r="BQ349">
        <v>0</v>
      </c>
      <c r="BR349">
        <v>0</v>
      </c>
      <c r="BS349">
        <v>0</v>
      </c>
      <c r="BT349">
        <v>0</v>
      </c>
      <c r="BU349">
        <v>0</v>
      </c>
      <c r="BV349">
        <v>0</v>
      </c>
      <c r="BW349">
        <v>0</v>
      </c>
    </row>
    <row r="350" spans="1:75" x14ac:dyDescent="0.55000000000000004">
      <c r="A350">
        <v>818</v>
      </c>
      <c r="B350">
        <v>17.646000000000001</v>
      </c>
      <c r="C350">
        <v>810.68347000000006</v>
      </c>
      <c r="D350" t="s">
        <v>1078</v>
      </c>
      <c r="E350" t="s">
        <v>32</v>
      </c>
      <c r="F350" t="s">
        <v>2</v>
      </c>
      <c r="G350">
        <v>0.46</v>
      </c>
      <c r="H350" t="b">
        <v>1</v>
      </c>
      <c r="I350">
        <v>13.022</v>
      </c>
      <c r="J350">
        <v>810.68280000000004</v>
      </c>
      <c r="K350" t="s">
        <v>1079</v>
      </c>
      <c r="L350" t="s">
        <v>650</v>
      </c>
      <c r="N350" t="s">
        <v>1080</v>
      </c>
      <c r="O350" t="s">
        <v>1092</v>
      </c>
      <c r="P350">
        <v>410</v>
      </c>
      <c r="Q350" t="b">
        <v>0</v>
      </c>
      <c r="R350" t="b">
        <v>1</v>
      </c>
      <c r="S350" t="b">
        <v>1</v>
      </c>
      <c r="T350" t="s">
        <v>7</v>
      </c>
      <c r="U350" t="b">
        <v>0</v>
      </c>
      <c r="V350" t="b">
        <v>0</v>
      </c>
      <c r="W350">
        <v>818</v>
      </c>
      <c r="X350">
        <v>0</v>
      </c>
      <c r="Y350">
        <v>0</v>
      </c>
      <c r="Z350">
        <v>0.99</v>
      </c>
      <c r="AA350">
        <v>0.437</v>
      </c>
      <c r="AB350">
        <v>0.66700000000000004</v>
      </c>
      <c r="AC350">
        <v>0.86799999999999999</v>
      </c>
      <c r="AD350">
        <v>5</v>
      </c>
      <c r="AE350">
        <v>2</v>
      </c>
      <c r="AF350">
        <v>2.3919999999999999</v>
      </c>
      <c r="AG350">
        <v>1074.94</v>
      </c>
      <c r="AH350" t="s">
        <v>927</v>
      </c>
      <c r="AI350" t="s">
        <v>1082</v>
      </c>
      <c r="AJ350" t="s">
        <v>1083</v>
      </c>
      <c r="AK350">
        <v>43772</v>
      </c>
      <c r="AL350">
        <v>0</v>
      </c>
      <c r="AM350">
        <v>0</v>
      </c>
      <c r="AN350">
        <v>0</v>
      </c>
      <c r="AO350">
        <v>0</v>
      </c>
      <c r="AP350">
        <v>580691</v>
      </c>
      <c r="AQ350">
        <v>604351</v>
      </c>
      <c r="AR350">
        <v>323203</v>
      </c>
      <c r="AS350">
        <v>328139</v>
      </c>
      <c r="AT350">
        <v>353517</v>
      </c>
      <c r="AU350">
        <v>0</v>
      </c>
      <c r="AV350">
        <v>0</v>
      </c>
      <c r="AW350">
        <v>0</v>
      </c>
      <c r="AX350">
        <v>43771.875</v>
      </c>
      <c r="AY350">
        <v>0</v>
      </c>
      <c r="AZ350">
        <v>0</v>
      </c>
      <c r="BA350">
        <v>0</v>
      </c>
      <c r="BB350">
        <v>0</v>
      </c>
      <c r="BC350">
        <v>580691.375</v>
      </c>
      <c r="BD350">
        <v>604351</v>
      </c>
      <c r="BE350">
        <v>323202.625</v>
      </c>
      <c r="BF350">
        <v>328138.6875</v>
      </c>
      <c r="BG350">
        <v>353517.0625</v>
      </c>
      <c r="BH350">
        <v>0</v>
      </c>
      <c r="BI350">
        <v>0</v>
      </c>
      <c r="BJ350">
        <v>0</v>
      </c>
      <c r="BK350">
        <v>0</v>
      </c>
      <c r="BL350">
        <v>0</v>
      </c>
      <c r="BM350">
        <v>0</v>
      </c>
      <c r="BN350">
        <v>0</v>
      </c>
      <c r="BO350">
        <v>0</v>
      </c>
      <c r="BP350">
        <v>0</v>
      </c>
      <c r="BQ350">
        <v>0</v>
      </c>
      <c r="BR350">
        <v>0</v>
      </c>
      <c r="BS350">
        <v>0</v>
      </c>
      <c r="BT350">
        <v>0</v>
      </c>
      <c r="BU350">
        <v>0</v>
      </c>
      <c r="BV350">
        <v>0</v>
      </c>
      <c r="BW350">
        <v>0</v>
      </c>
    </row>
    <row r="351" spans="1:75" x14ac:dyDescent="0.55000000000000004">
      <c r="A351">
        <v>832</v>
      </c>
      <c r="B351">
        <v>12.661</v>
      </c>
      <c r="C351">
        <v>812.54443000000003</v>
      </c>
      <c r="D351" t="s">
        <v>1084</v>
      </c>
      <c r="E351" t="s">
        <v>1</v>
      </c>
      <c r="F351" t="s">
        <v>2</v>
      </c>
      <c r="G351">
        <v>0.23</v>
      </c>
      <c r="H351" t="b">
        <v>1</v>
      </c>
      <c r="I351">
        <v>9.0150000000000006</v>
      </c>
      <c r="J351">
        <v>812.54467999999997</v>
      </c>
      <c r="K351" t="s">
        <v>592</v>
      </c>
      <c r="L351" t="s">
        <v>660</v>
      </c>
      <c r="N351" t="s">
        <v>1085</v>
      </c>
      <c r="O351" t="s">
        <v>1099</v>
      </c>
      <c r="P351">
        <v>410</v>
      </c>
      <c r="Q351" t="b">
        <v>0</v>
      </c>
      <c r="R351" t="b">
        <v>1</v>
      </c>
      <c r="S351" t="b">
        <v>1</v>
      </c>
      <c r="T351" t="s">
        <v>7</v>
      </c>
      <c r="U351" t="b">
        <v>0</v>
      </c>
      <c r="V351" t="b">
        <v>0</v>
      </c>
      <c r="W351">
        <v>832</v>
      </c>
      <c r="X351">
        <v>0</v>
      </c>
      <c r="Y351">
        <v>0</v>
      </c>
      <c r="Z351">
        <v>1</v>
      </c>
      <c r="AA351">
        <v>0.73399999999999999</v>
      </c>
      <c r="AB351">
        <v>0.80700000000000005</v>
      </c>
      <c r="AC351">
        <v>0.90600000000000003</v>
      </c>
      <c r="AD351">
        <v>8</v>
      </c>
      <c r="AE351">
        <v>2</v>
      </c>
      <c r="AF351">
        <v>2.504</v>
      </c>
      <c r="AG351">
        <v>2221.59</v>
      </c>
      <c r="AH351" t="s">
        <v>1011</v>
      </c>
      <c r="AI351" t="s">
        <v>1087</v>
      </c>
      <c r="AJ351" t="s">
        <v>1088</v>
      </c>
      <c r="AK351">
        <v>68928</v>
      </c>
      <c r="AL351">
        <v>0</v>
      </c>
      <c r="AM351">
        <v>0</v>
      </c>
      <c r="AN351">
        <v>0</v>
      </c>
      <c r="AO351">
        <v>0</v>
      </c>
      <c r="AP351">
        <v>1071218</v>
      </c>
      <c r="AQ351">
        <v>1064455</v>
      </c>
      <c r="AR351">
        <v>518950</v>
      </c>
      <c r="AS351">
        <v>625071</v>
      </c>
      <c r="AT351">
        <v>628812</v>
      </c>
      <c r="AU351">
        <v>0</v>
      </c>
      <c r="AV351">
        <v>0</v>
      </c>
      <c r="AW351">
        <v>0</v>
      </c>
      <c r="AX351">
        <v>68928.125</v>
      </c>
      <c r="AY351">
        <v>0</v>
      </c>
      <c r="AZ351">
        <v>0</v>
      </c>
      <c r="BA351">
        <v>0</v>
      </c>
      <c r="BB351">
        <v>0</v>
      </c>
      <c r="BC351">
        <v>1071218.3125</v>
      </c>
      <c r="BD351">
        <v>1064454.875</v>
      </c>
      <c r="BE351">
        <v>518950.125</v>
      </c>
      <c r="BF351">
        <v>625071.375</v>
      </c>
      <c r="BG351">
        <v>628811.75</v>
      </c>
      <c r="BH351">
        <v>0</v>
      </c>
      <c r="BI351">
        <v>0</v>
      </c>
      <c r="BJ351">
        <v>0</v>
      </c>
      <c r="BK351">
        <v>0</v>
      </c>
      <c r="BL351">
        <v>0</v>
      </c>
      <c r="BM351">
        <v>0</v>
      </c>
      <c r="BN351">
        <v>0</v>
      </c>
      <c r="BO351">
        <v>0</v>
      </c>
      <c r="BP351">
        <v>0</v>
      </c>
      <c r="BQ351">
        <v>0</v>
      </c>
      <c r="BR351">
        <v>0</v>
      </c>
      <c r="BS351">
        <v>0</v>
      </c>
      <c r="BT351">
        <v>0</v>
      </c>
      <c r="BU351">
        <v>0</v>
      </c>
      <c r="BV351">
        <v>0</v>
      </c>
      <c r="BW351">
        <v>0</v>
      </c>
    </row>
    <row r="352" spans="1:75" x14ac:dyDescent="0.55000000000000004">
      <c r="A352">
        <v>837</v>
      </c>
      <c r="B352">
        <v>14.18</v>
      </c>
      <c r="C352">
        <v>812.58112000000006</v>
      </c>
      <c r="D352" t="s">
        <v>1089</v>
      </c>
      <c r="E352" t="s">
        <v>1</v>
      </c>
      <c r="F352" t="s">
        <v>2</v>
      </c>
      <c r="G352">
        <v>0.23</v>
      </c>
      <c r="H352" t="b">
        <v>1</v>
      </c>
      <c r="I352">
        <v>9.7829999999999995</v>
      </c>
      <c r="J352">
        <v>812.58112000000006</v>
      </c>
      <c r="K352" t="s">
        <v>1090</v>
      </c>
      <c r="L352" t="s">
        <v>329</v>
      </c>
      <c r="N352" t="s">
        <v>1091</v>
      </c>
      <c r="O352" t="s">
        <v>1104</v>
      </c>
      <c r="P352">
        <v>410</v>
      </c>
      <c r="Q352" t="b">
        <v>0</v>
      </c>
      <c r="R352" t="b">
        <v>1</v>
      </c>
      <c r="S352" t="b">
        <v>1</v>
      </c>
      <c r="T352" t="s">
        <v>7</v>
      </c>
      <c r="U352" t="b">
        <v>0</v>
      </c>
      <c r="V352" t="b">
        <v>0</v>
      </c>
      <c r="W352">
        <v>837</v>
      </c>
      <c r="X352">
        <v>0</v>
      </c>
      <c r="Y352">
        <v>0</v>
      </c>
      <c r="Z352">
        <v>1</v>
      </c>
      <c r="AA352">
        <v>0.83699999999999997</v>
      </c>
      <c r="AB352">
        <v>0.88600000000000001</v>
      </c>
      <c r="AC352">
        <v>0.91600000000000004</v>
      </c>
      <c r="AD352">
        <v>5</v>
      </c>
      <c r="AE352">
        <v>2</v>
      </c>
      <c r="AF352">
        <v>2.5470000000000002</v>
      </c>
      <c r="AG352">
        <v>21984.82</v>
      </c>
      <c r="AH352" t="s">
        <v>927</v>
      </c>
      <c r="AI352" t="s">
        <v>1093</v>
      </c>
      <c r="AJ352" t="s">
        <v>1094</v>
      </c>
      <c r="AK352">
        <v>1445745</v>
      </c>
      <c r="AL352">
        <v>0</v>
      </c>
      <c r="AM352">
        <v>0</v>
      </c>
      <c r="AN352">
        <v>0</v>
      </c>
      <c r="AO352">
        <v>0</v>
      </c>
      <c r="AP352">
        <v>13352739</v>
      </c>
      <c r="AQ352">
        <v>14452881</v>
      </c>
      <c r="AR352">
        <v>7570275</v>
      </c>
      <c r="AS352">
        <v>8578042</v>
      </c>
      <c r="AT352">
        <v>8661335</v>
      </c>
      <c r="AU352">
        <v>0</v>
      </c>
      <c r="AV352">
        <v>0</v>
      </c>
      <c r="AW352">
        <v>0</v>
      </c>
      <c r="AX352">
        <v>1445744.875</v>
      </c>
      <c r="AY352">
        <v>0</v>
      </c>
      <c r="AZ352">
        <v>0</v>
      </c>
      <c r="BA352">
        <v>0</v>
      </c>
      <c r="BB352">
        <v>0</v>
      </c>
      <c r="BC352">
        <v>13352739.0625</v>
      </c>
      <c r="BD352">
        <v>14452881.375</v>
      </c>
      <c r="BE352">
        <v>7570275.1875</v>
      </c>
      <c r="BF352">
        <v>8578042.0625</v>
      </c>
      <c r="BG352">
        <v>8661335.1875</v>
      </c>
      <c r="BH352">
        <v>0</v>
      </c>
      <c r="BI352">
        <v>0</v>
      </c>
      <c r="BJ352">
        <v>0</v>
      </c>
      <c r="BK352">
        <v>0</v>
      </c>
      <c r="BL352">
        <v>0</v>
      </c>
      <c r="BM352">
        <v>0</v>
      </c>
      <c r="BN352">
        <v>0</v>
      </c>
      <c r="BO352">
        <v>0</v>
      </c>
      <c r="BP352">
        <v>0</v>
      </c>
      <c r="BQ352">
        <v>0</v>
      </c>
      <c r="BR352">
        <v>0</v>
      </c>
      <c r="BS352">
        <v>0</v>
      </c>
      <c r="BT352">
        <v>0</v>
      </c>
      <c r="BU352">
        <v>0</v>
      </c>
      <c r="BV352">
        <v>0</v>
      </c>
      <c r="BW352">
        <v>0</v>
      </c>
    </row>
    <row r="353" spans="1:75" x14ac:dyDescent="0.55000000000000004">
      <c r="A353">
        <v>842</v>
      </c>
      <c r="B353">
        <v>17.085999999999999</v>
      </c>
      <c r="C353">
        <v>812.66210999999998</v>
      </c>
      <c r="D353" t="s">
        <v>1095</v>
      </c>
      <c r="E353" t="s">
        <v>32</v>
      </c>
      <c r="F353" t="s">
        <v>2</v>
      </c>
      <c r="G353">
        <v>0.38</v>
      </c>
      <c r="H353" t="b">
        <v>1</v>
      </c>
      <c r="I353">
        <v>12.57</v>
      </c>
      <c r="J353">
        <v>812.66210999999998</v>
      </c>
      <c r="K353" t="s">
        <v>1096</v>
      </c>
      <c r="L353" t="s">
        <v>1097</v>
      </c>
      <c r="N353" t="s">
        <v>1098</v>
      </c>
      <c r="O353" t="s">
        <v>1110</v>
      </c>
      <c r="P353">
        <v>410</v>
      </c>
      <c r="Q353" t="b">
        <v>0</v>
      </c>
      <c r="R353" t="b">
        <v>1</v>
      </c>
      <c r="S353" t="b">
        <v>1</v>
      </c>
      <c r="T353" t="s">
        <v>7</v>
      </c>
      <c r="U353" t="b">
        <v>0</v>
      </c>
      <c r="V353" t="b">
        <v>0</v>
      </c>
      <c r="W353">
        <v>842</v>
      </c>
      <c r="X353">
        <v>0</v>
      </c>
      <c r="Y353">
        <v>0</v>
      </c>
      <c r="Z353">
        <v>1</v>
      </c>
      <c r="AA353">
        <v>0.36099999999999999</v>
      </c>
      <c r="AB353">
        <v>0.57799999999999996</v>
      </c>
      <c r="AC353">
        <v>0.90800000000000003</v>
      </c>
      <c r="AD353">
        <v>5</v>
      </c>
      <c r="AE353">
        <v>2</v>
      </c>
      <c r="AF353">
        <v>2.3759999999999999</v>
      </c>
      <c r="AG353">
        <v>458.45</v>
      </c>
      <c r="AH353" t="s">
        <v>927</v>
      </c>
      <c r="AI353" t="s">
        <v>1100</v>
      </c>
      <c r="AJ353" t="s">
        <v>1101</v>
      </c>
      <c r="AK353">
        <v>12121</v>
      </c>
      <c r="AL353">
        <v>0</v>
      </c>
      <c r="AM353">
        <v>0</v>
      </c>
      <c r="AN353">
        <v>0</v>
      </c>
      <c r="AO353">
        <v>0</v>
      </c>
      <c r="AP353">
        <v>139922</v>
      </c>
      <c r="AQ353">
        <v>149991</v>
      </c>
      <c r="AR353">
        <v>92814</v>
      </c>
      <c r="AS353">
        <v>101377</v>
      </c>
      <c r="AT353">
        <v>106743</v>
      </c>
      <c r="AU353">
        <v>0</v>
      </c>
      <c r="AV353">
        <v>0</v>
      </c>
      <c r="AW353">
        <v>0</v>
      </c>
      <c r="AX353">
        <v>12120.5625</v>
      </c>
      <c r="AY353">
        <v>0</v>
      </c>
      <c r="AZ353">
        <v>0</v>
      </c>
      <c r="BA353">
        <v>0</v>
      </c>
      <c r="BB353">
        <v>0</v>
      </c>
      <c r="BC353">
        <v>139922.5</v>
      </c>
      <c r="BD353">
        <v>149991</v>
      </c>
      <c r="BE353">
        <v>92813.8125</v>
      </c>
      <c r="BF353">
        <v>101377.1875</v>
      </c>
      <c r="BG353">
        <v>106742.875</v>
      </c>
      <c r="BH353">
        <v>0</v>
      </c>
      <c r="BI353">
        <v>0</v>
      </c>
      <c r="BJ353">
        <v>0</v>
      </c>
      <c r="BK353">
        <v>0</v>
      </c>
      <c r="BL353">
        <v>0</v>
      </c>
      <c r="BM353">
        <v>0</v>
      </c>
      <c r="BN353">
        <v>0</v>
      </c>
      <c r="BO353">
        <v>0</v>
      </c>
      <c r="BP353">
        <v>0</v>
      </c>
      <c r="BQ353">
        <v>0</v>
      </c>
      <c r="BR353">
        <v>0</v>
      </c>
      <c r="BS353">
        <v>0</v>
      </c>
      <c r="BT353">
        <v>0</v>
      </c>
      <c r="BU353">
        <v>0</v>
      </c>
      <c r="BV353">
        <v>0</v>
      </c>
      <c r="BW353">
        <v>0</v>
      </c>
    </row>
    <row r="354" spans="1:75" x14ac:dyDescent="0.55000000000000004">
      <c r="A354">
        <v>858</v>
      </c>
      <c r="B354">
        <v>13.04</v>
      </c>
      <c r="C354">
        <v>814.56110000000001</v>
      </c>
      <c r="D354" t="s">
        <v>1102</v>
      </c>
      <c r="E354" t="s">
        <v>1</v>
      </c>
      <c r="F354" t="s">
        <v>2</v>
      </c>
      <c r="G354">
        <v>0.23</v>
      </c>
      <c r="H354" t="b">
        <v>1</v>
      </c>
      <c r="I354">
        <v>8.9480000000000004</v>
      </c>
      <c r="J354">
        <v>814.56042000000002</v>
      </c>
      <c r="K354" t="s">
        <v>608</v>
      </c>
      <c r="L354" t="s">
        <v>660</v>
      </c>
      <c r="N354" t="s">
        <v>1103</v>
      </c>
      <c r="O354" t="s">
        <v>1110</v>
      </c>
      <c r="P354">
        <v>410</v>
      </c>
      <c r="Q354" t="b">
        <v>0</v>
      </c>
      <c r="R354" t="b">
        <v>1</v>
      </c>
      <c r="S354" t="b">
        <v>1</v>
      </c>
      <c r="T354" t="s">
        <v>7</v>
      </c>
      <c r="U354" t="b">
        <v>0</v>
      </c>
      <c r="V354" t="b">
        <v>0</v>
      </c>
      <c r="W354">
        <v>858</v>
      </c>
      <c r="X354">
        <v>0</v>
      </c>
      <c r="Y354">
        <v>0</v>
      </c>
      <c r="Z354">
        <v>0.99</v>
      </c>
      <c r="AA354">
        <v>0.66100000000000003</v>
      </c>
      <c r="AB354">
        <v>0.76900000000000002</v>
      </c>
      <c r="AC354">
        <v>0.85399999999999998</v>
      </c>
      <c r="AD354">
        <v>6</v>
      </c>
      <c r="AE354">
        <v>2</v>
      </c>
      <c r="AF354">
        <v>2.4540000000000002</v>
      </c>
      <c r="AG354">
        <v>885.56</v>
      </c>
      <c r="AH354" t="s">
        <v>927</v>
      </c>
      <c r="AI354" t="s">
        <v>1105</v>
      </c>
      <c r="AJ354" t="s">
        <v>1106</v>
      </c>
      <c r="AK354">
        <v>33806</v>
      </c>
      <c r="AL354">
        <v>0</v>
      </c>
      <c r="AM354">
        <v>0</v>
      </c>
      <c r="AN354">
        <v>0</v>
      </c>
      <c r="AO354">
        <v>0</v>
      </c>
      <c r="AP354">
        <v>427580</v>
      </c>
      <c r="AQ354">
        <v>151189</v>
      </c>
      <c r="AR354">
        <v>220363</v>
      </c>
      <c r="AS354">
        <v>256852</v>
      </c>
      <c r="AT354">
        <v>269638</v>
      </c>
      <c r="AU354">
        <v>0</v>
      </c>
      <c r="AV354">
        <v>0</v>
      </c>
      <c r="AW354">
        <v>0</v>
      </c>
      <c r="AX354">
        <v>33805.75</v>
      </c>
      <c r="AY354">
        <v>0</v>
      </c>
      <c r="AZ354">
        <v>0</v>
      </c>
      <c r="BA354">
        <v>0</v>
      </c>
      <c r="BB354">
        <v>0</v>
      </c>
      <c r="BC354">
        <v>427579.6875</v>
      </c>
      <c r="BD354">
        <v>151189.375</v>
      </c>
      <c r="BE354">
        <v>220363.375</v>
      </c>
      <c r="BF354">
        <v>256852.25</v>
      </c>
      <c r="BG354">
        <v>269638.3125</v>
      </c>
      <c r="BH354">
        <v>0</v>
      </c>
      <c r="BI354">
        <v>0</v>
      </c>
      <c r="BJ354">
        <v>0</v>
      </c>
      <c r="BK354">
        <v>0</v>
      </c>
      <c r="BL354">
        <v>0</v>
      </c>
      <c r="BM354">
        <v>0</v>
      </c>
      <c r="BN354">
        <v>0</v>
      </c>
      <c r="BO354">
        <v>0</v>
      </c>
      <c r="BP354">
        <v>0</v>
      </c>
      <c r="BQ354">
        <v>0</v>
      </c>
      <c r="BR354">
        <v>0</v>
      </c>
      <c r="BS354">
        <v>0</v>
      </c>
      <c r="BT354">
        <v>0</v>
      </c>
      <c r="BU354">
        <v>0</v>
      </c>
      <c r="BV354">
        <v>0</v>
      </c>
      <c r="BW354">
        <v>0</v>
      </c>
    </row>
    <row r="355" spans="1:75" x14ac:dyDescent="0.55000000000000004">
      <c r="A355">
        <v>861</v>
      </c>
      <c r="B355">
        <v>14.632</v>
      </c>
      <c r="C355">
        <v>814.59424000000001</v>
      </c>
      <c r="D355" t="s">
        <v>1107</v>
      </c>
      <c r="E355" t="s">
        <v>1</v>
      </c>
      <c r="F355" t="s">
        <v>2</v>
      </c>
      <c r="G355">
        <v>0.23</v>
      </c>
      <c r="H355" t="b">
        <v>1</v>
      </c>
      <c r="I355">
        <v>10.022</v>
      </c>
      <c r="J355">
        <v>814.59667999999999</v>
      </c>
      <c r="K355" t="s">
        <v>1108</v>
      </c>
      <c r="L355" t="s">
        <v>329</v>
      </c>
      <c r="N355" t="s">
        <v>1109</v>
      </c>
      <c r="O355" t="s">
        <v>1117</v>
      </c>
      <c r="P355">
        <v>410</v>
      </c>
      <c r="Q355" t="b">
        <v>0</v>
      </c>
      <c r="R355" t="b">
        <v>1</v>
      </c>
      <c r="S355" t="b">
        <v>1</v>
      </c>
      <c r="T355" t="s">
        <v>7</v>
      </c>
      <c r="U355" t="b">
        <v>0</v>
      </c>
      <c r="V355" t="b">
        <v>0</v>
      </c>
      <c r="W355">
        <v>861</v>
      </c>
      <c r="X355">
        <v>0</v>
      </c>
      <c r="Y355">
        <v>0</v>
      </c>
      <c r="Z355">
        <v>0.96</v>
      </c>
      <c r="AA355">
        <v>0.46600000000000003</v>
      </c>
      <c r="AB355">
        <v>0.628</v>
      </c>
      <c r="AC355">
        <v>0.84199999999999997</v>
      </c>
      <c r="AD355">
        <v>3</v>
      </c>
      <c r="AE355">
        <v>2</v>
      </c>
      <c r="AF355">
        <v>2.359</v>
      </c>
      <c r="AG355">
        <v>2909.16</v>
      </c>
      <c r="AH355" t="s">
        <v>990</v>
      </c>
      <c r="AI355" t="s">
        <v>1111</v>
      </c>
      <c r="AJ355" t="s">
        <v>1112</v>
      </c>
      <c r="AK355">
        <v>57160</v>
      </c>
      <c r="AL355">
        <v>0</v>
      </c>
      <c r="AM355">
        <v>0</v>
      </c>
      <c r="AN355">
        <v>0</v>
      </c>
      <c r="AO355">
        <v>0</v>
      </c>
      <c r="AP355">
        <v>973673</v>
      </c>
      <c r="AQ355">
        <v>979424</v>
      </c>
      <c r="AR355">
        <v>640308</v>
      </c>
      <c r="AS355">
        <v>695821</v>
      </c>
      <c r="AT355">
        <v>701809</v>
      </c>
      <c r="AU355">
        <v>0</v>
      </c>
      <c r="AV355">
        <v>0</v>
      </c>
      <c r="AW355">
        <v>0</v>
      </c>
      <c r="AX355">
        <v>57160.25</v>
      </c>
      <c r="AY355">
        <v>0</v>
      </c>
      <c r="AZ355">
        <v>0</v>
      </c>
      <c r="BA355">
        <v>0</v>
      </c>
      <c r="BB355">
        <v>0</v>
      </c>
      <c r="BC355">
        <v>973672.5625</v>
      </c>
      <c r="BD355">
        <v>979424.1875</v>
      </c>
      <c r="BE355">
        <v>640308.1875</v>
      </c>
      <c r="BF355">
        <v>695820.625</v>
      </c>
      <c r="BG355">
        <v>701808.75</v>
      </c>
      <c r="BH355">
        <v>0</v>
      </c>
      <c r="BI355">
        <v>0</v>
      </c>
      <c r="BJ355">
        <v>0</v>
      </c>
      <c r="BK355">
        <v>0</v>
      </c>
      <c r="BL355">
        <v>0</v>
      </c>
      <c r="BM355">
        <v>0</v>
      </c>
      <c r="BN355">
        <v>0</v>
      </c>
      <c r="BO355">
        <v>0</v>
      </c>
      <c r="BP355">
        <v>0</v>
      </c>
      <c r="BQ355">
        <v>0</v>
      </c>
      <c r="BR355">
        <v>0</v>
      </c>
      <c r="BS355">
        <v>0</v>
      </c>
      <c r="BT355">
        <v>0</v>
      </c>
      <c r="BU355">
        <v>0</v>
      </c>
      <c r="BV355">
        <v>0</v>
      </c>
      <c r="BW355">
        <v>0</v>
      </c>
    </row>
    <row r="356" spans="1:75" x14ac:dyDescent="0.55000000000000004">
      <c r="A356">
        <v>862</v>
      </c>
      <c r="B356">
        <v>14.708</v>
      </c>
      <c r="C356">
        <v>814.59442000000001</v>
      </c>
      <c r="D356" t="s">
        <v>1107</v>
      </c>
      <c r="E356" t="s">
        <v>1</v>
      </c>
      <c r="F356" t="s">
        <v>2</v>
      </c>
      <c r="G356">
        <v>0.23</v>
      </c>
      <c r="H356" t="b">
        <v>1</v>
      </c>
      <c r="I356">
        <v>10.022</v>
      </c>
      <c r="J356">
        <v>814.59667999999999</v>
      </c>
      <c r="K356" t="s">
        <v>1108</v>
      </c>
      <c r="L356" t="s">
        <v>329</v>
      </c>
      <c r="N356" t="s">
        <v>1109</v>
      </c>
      <c r="O356" t="s">
        <v>1122</v>
      </c>
      <c r="P356">
        <v>410</v>
      </c>
      <c r="Q356" t="b">
        <v>0</v>
      </c>
      <c r="R356" t="b">
        <v>1</v>
      </c>
      <c r="S356" t="b">
        <v>1</v>
      </c>
      <c r="T356" t="s">
        <v>7</v>
      </c>
      <c r="U356" t="b">
        <v>0</v>
      </c>
      <c r="V356" t="b">
        <v>0</v>
      </c>
      <c r="W356">
        <v>862</v>
      </c>
      <c r="X356">
        <v>0</v>
      </c>
      <c r="Y356">
        <v>0</v>
      </c>
      <c r="Z356">
        <v>0.97</v>
      </c>
      <c r="AA356">
        <v>0.51500000000000001</v>
      </c>
      <c r="AB356">
        <v>0.67700000000000005</v>
      </c>
      <c r="AC356">
        <v>0.871</v>
      </c>
      <c r="AD356">
        <v>4</v>
      </c>
      <c r="AE356">
        <v>2</v>
      </c>
      <c r="AF356">
        <v>2.399</v>
      </c>
      <c r="AG356">
        <v>2003.1</v>
      </c>
      <c r="AH356" t="s">
        <v>927</v>
      </c>
      <c r="AI356" t="s">
        <v>1113</v>
      </c>
      <c r="AJ356" t="s">
        <v>1114</v>
      </c>
      <c r="AK356">
        <v>162750</v>
      </c>
      <c r="AL356">
        <v>0</v>
      </c>
      <c r="AM356">
        <v>0</v>
      </c>
      <c r="AN356">
        <v>0</v>
      </c>
      <c r="AO356">
        <v>0</v>
      </c>
      <c r="AP356">
        <v>973673</v>
      </c>
      <c r="AQ356">
        <v>979424</v>
      </c>
      <c r="AR356">
        <v>640308</v>
      </c>
      <c r="AS356">
        <v>695821</v>
      </c>
      <c r="AT356">
        <v>701809</v>
      </c>
      <c r="AU356">
        <v>0</v>
      </c>
      <c r="AV356">
        <v>0</v>
      </c>
      <c r="AW356">
        <v>0</v>
      </c>
      <c r="AX356">
        <v>162749.6875</v>
      </c>
      <c r="AY356">
        <v>0</v>
      </c>
      <c r="AZ356">
        <v>0</v>
      </c>
      <c r="BA356">
        <v>0</v>
      </c>
      <c r="BB356">
        <v>0</v>
      </c>
      <c r="BC356">
        <v>973672.5625</v>
      </c>
      <c r="BD356">
        <v>979424.1875</v>
      </c>
      <c r="BE356">
        <v>640308.1875</v>
      </c>
      <c r="BF356">
        <v>695820.625</v>
      </c>
      <c r="BG356">
        <v>701808.75</v>
      </c>
      <c r="BH356">
        <v>0</v>
      </c>
      <c r="BI356">
        <v>0</v>
      </c>
      <c r="BJ356">
        <v>0</v>
      </c>
      <c r="BK356">
        <v>0</v>
      </c>
      <c r="BL356">
        <v>0</v>
      </c>
      <c r="BM356">
        <v>0</v>
      </c>
      <c r="BN356">
        <v>0</v>
      </c>
      <c r="BO356">
        <v>0</v>
      </c>
      <c r="BP356">
        <v>0</v>
      </c>
      <c r="BQ356">
        <v>0</v>
      </c>
      <c r="BR356">
        <v>0</v>
      </c>
      <c r="BS356">
        <v>0</v>
      </c>
      <c r="BT356">
        <v>0</v>
      </c>
      <c r="BU356">
        <v>0</v>
      </c>
      <c r="BV356">
        <v>0</v>
      </c>
      <c r="BW356">
        <v>0</v>
      </c>
    </row>
    <row r="357" spans="1:75" x14ac:dyDescent="0.55000000000000004">
      <c r="A357">
        <v>864</v>
      </c>
      <c r="B357">
        <v>15.375999999999999</v>
      </c>
      <c r="C357">
        <v>814.59711000000004</v>
      </c>
      <c r="D357" t="s">
        <v>1115</v>
      </c>
      <c r="E357" t="s">
        <v>1</v>
      </c>
      <c r="F357" t="s">
        <v>2</v>
      </c>
      <c r="G357">
        <v>0.23</v>
      </c>
      <c r="H357" t="b">
        <v>1</v>
      </c>
      <c r="I357">
        <v>10.691000000000001</v>
      </c>
      <c r="J357">
        <v>814.59667999999999</v>
      </c>
      <c r="K357" t="s">
        <v>1108</v>
      </c>
      <c r="L357" t="s">
        <v>329</v>
      </c>
      <c r="N357" t="s">
        <v>1116</v>
      </c>
      <c r="O357" t="s">
        <v>1122</v>
      </c>
      <c r="P357">
        <v>410</v>
      </c>
      <c r="Q357" t="b">
        <v>0</v>
      </c>
      <c r="R357" t="b">
        <v>1</v>
      </c>
      <c r="S357" t="b">
        <v>1</v>
      </c>
      <c r="T357" t="s">
        <v>7</v>
      </c>
      <c r="U357" t="b">
        <v>0</v>
      </c>
      <c r="V357" t="b">
        <v>0</v>
      </c>
      <c r="W357">
        <v>864</v>
      </c>
      <c r="X357">
        <v>0</v>
      </c>
      <c r="Y357">
        <v>0</v>
      </c>
      <c r="Z357">
        <v>0.99</v>
      </c>
      <c r="AA357">
        <v>0.73</v>
      </c>
      <c r="AB357">
        <v>0.81</v>
      </c>
      <c r="AC357">
        <v>0.92200000000000004</v>
      </c>
      <c r="AD357">
        <v>5</v>
      </c>
      <c r="AE357">
        <v>2</v>
      </c>
      <c r="AF357">
        <v>2.508</v>
      </c>
      <c r="AG357">
        <v>4018.54</v>
      </c>
      <c r="AH357" t="s">
        <v>454</v>
      </c>
      <c r="AI357" t="s">
        <v>1118</v>
      </c>
      <c r="AJ357" t="s">
        <v>1119</v>
      </c>
      <c r="AK357">
        <v>201917</v>
      </c>
      <c r="AL357">
        <v>0</v>
      </c>
      <c r="AM357">
        <v>0</v>
      </c>
      <c r="AN357">
        <v>0</v>
      </c>
      <c r="AO357">
        <v>0</v>
      </c>
      <c r="AP357">
        <v>2417195</v>
      </c>
      <c r="AQ357">
        <v>2454316</v>
      </c>
      <c r="AR357">
        <v>1267163</v>
      </c>
      <c r="AS357">
        <v>1460116</v>
      </c>
      <c r="AT357">
        <v>1502558</v>
      </c>
      <c r="AU357">
        <v>0</v>
      </c>
      <c r="AV357">
        <v>0</v>
      </c>
      <c r="AW357">
        <v>0</v>
      </c>
      <c r="AX357">
        <v>201916.8125</v>
      </c>
      <c r="AY357">
        <v>0</v>
      </c>
      <c r="AZ357">
        <v>0</v>
      </c>
      <c r="BA357">
        <v>0</v>
      </c>
      <c r="BB357">
        <v>0</v>
      </c>
      <c r="BC357">
        <v>2417195.375</v>
      </c>
      <c r="BD357">
        <v>2454316.1875</v>
      </c>
      <c r="BE357">
        <v>1267163.0625</v>
      </c>
      <c r="BF357">
        <v>1460115.5</v>
      </c>
      <c r="BG357">
        <v>1502557.8125</v>
      </c>
      <c r="BH357">
        <v>0</v>
      </c>
      <c r="BI357">
        <v>0</v>
      </c>
      <c r="BJ357">
        <v>0</v>
      </c>
      <c r="BK357">
        <v>0</v>
      </c>
      <c r="BL357">
        <v>0</v>
      </c>
      <c r="BM357">
        <v>0</v>
      </c>
      <c r="BN357">
        <v>0</v>
      </c>
      <c r="BO357">
        <v>0</v>
      </c>
      <c r="BP357">
        <v>0</v>
      </c>
      <c r="BQ357">
        <v>0</v>
      </c>
      <c r="BR357">
        <v>0</v>
      </c>
      <c r="BS357">
        <v>0</v>
      </c>
      <c r="BT357">
        <v>0</v>
      </c>
      <c r="BU357">
        <v>0</v>
      </c>
      <c r="BV357">
        <v>0</v>
      </c>
      <c r="BW357">
        <v>0</v>
      </c>
    </row>
    <row r="358" spans="1:75" x14ac:dyDescent="0.55000000000000004">
      <c r="A358">
        <v>877</v>
      </c>
      <c r="B358">
        <v>14.31</v>
      </c>
      <c r="C358">
        <v>816.5752</v>
      </c>
      <c r="D358" t="s">
        <v>1120</v>
      </c>
      <c r="E358" t="s">
        <v>1</v>
      </c>
      <c r="F358" t="s">
        <v>2</v>
      </c>
      <c r="G358">
        <v>0.23</v>
      </c>
      <c r="H358" t="b">
        <v>1</v>
      </c>
      <c r="I358">
        <v>9.5180000000000007</v>
      </c>
      <c r="J358">
        <v>816.57599000000005</v>
      </c>
      <c r="K358" t="s">
        <v>628</v>
      </c>
      <c r="L358" t="s">
        <v>660</v>
      </c>
      <c r="N358" t="s">
        <v>1121</v>
      </c>
      <c r="O358" t="s">
        <v>1122</v>
      </c>
      <c r="P358">
        <v>410</v>
      </c>
      <c r="Q358" t="b">
        <v>0</v>
      </c>
      <c r="R358" t="b">
        <v>1</v>
      </c>
      <c r="S358" t="b">
        <v>1</v>
      </c>
      <c r="T358" t="s">
        <v>7</v>
      </c>
      <c r="U358" t="b">
        <v>0</v>
      </c>
      <c r="V358" t="b">
        <v>0</v>
      </c>
      <c r="W358">
        <v>877</v>
      </c>
      <c r="X358">
        <v>0</v>
      </c>
      <c r="Y358">
        <v>0</v>
      </c>
      <c r="Z358">
        <v>1</v>
      </c>
      <c r="AA358">
        <v>0.56799999999999995</v>
      </c>
      <c r="AB358">
        <v>0.59499999999999997</v>
      </c>
      <c r="AC358">
        <v>0.89300000000000002</v>
      </c>
      <c r="AD358">
        <v>8</v>
      </c>
      <c r="AE358">
        <v>2</v>
      </c>
      <c r="AF358">
        <v>2.415</v>
      </c>
      <c r="AG358">
        <v>7720.52</v>
      </c>
      <c r="AH358" t="s">
        <v>1011</v>
      </c>
      <c r="AI358" t="s">
        <v>1123</v>
      </c>
      <c r="AJ358" t="s">
        <v>1124</v>
      </c>
      <c r="AK358">
        <v>628199</v>
      </c>
      <c r="AL358">
        <v>0</v>
      </c>
      <c r="AM358">
        <v>0</v>
      </c>
      <c r="AN358">
        <v>0</v>
      </c>
      <c r="AO358">
        <v>0</v>
      </c>
      <c r="AP358">
        <v>6025718</v>
      </c>
      <c r="AQ358">
        <v>1211925</v>
      </c>
      <c r="AR358">
        <v>3453914</v>
      </c>
      <c r="AS358">
        <v>3842160</v>
      </c>
      <c r="AT358">
        <v>3848822</v>
      </c>
      <c r="AU358">
        <v>0</v>
      </c>
      <c r="AV358">
        <v>0</v>
      </c>
      <c r="AW358">
        <v>0</v>
      </c>
      <c r="AX358">
        <v>628199.3125</v>
      </c>
      <c r="AY358">
        <v>0</v>
      </c>
      <c r="AZ358">
        <v>0</v>
      </c>
      <c r="BA358">
        <v>0</v>
      </c>
      <c r="BB358">
        <v>0</v>
      </c>
      <c r="BC358">
        <v>6025718.1875</v>
      </c>
      <c r="BD358">
        <v>1211924.625</v>
      </c>
      <c r="BE358">
        <v>3453914.3125</v>
      </c>
      <c r="BF358">
        <v>3842159.9375</v>
      </c>
      <c r="BG358">
        <v>3848821.75</v>
      </c>
      <c r="BH358">
        <v>0</v>
      </c>
      <c r="BI358">
        <v>0</v>
      </c>
      <c r="BJ358">
        <v>0</v>
      </c>
      <c r="BK358">
        <v>0</v>
      </c>
      <c r="BL358">
        <v>0</v>
      </c>
      <c r="BM358">
        <v>0</v>
      </c>
      <c r="BN358">
        <v>0</v>
      </c>
      <c r="BO358">
        <v>0</v>
      </c>
      <c r="BP358">
        <v>0</v>
      </c>
      <c r="BQ358">
        <v>0</v>
      </c>
      <c r="BR358">
        <v>0</v>
      </c>
      <c r="BS358">
        <v>0</v>
      </c>
      <c r="BT358">
        <v>0</v>
      </c>
      <c r="BU358">
        <v>0</v>
      </c>
      <c r="BV358">
        <v>0</v>
      </c>
      <c r="BW358">
        <v>0</v>
      </c>
    </row>
    <row r="359" spans="1:75" x14ac:dyDescent="0.55000000000000004">
      <c r="A359">
        <v>878</v>
      </c>
      <c r="B359">
        <v>14.206</v>
      </c>
      <c r="C359">
        <v>816.57525999999996</v>
      </c>
      <c r="D359" t="s">
        <v>1120</v>
      </c>
      <c r="E359" t="s">
        <v>1</v>
      </c>
      <c r="F359" t="s">
        <v>2</v>
      </c>
      <c r="G359">
        <v>0.31</v>
      </c>
      <c r="H359" t="b">
        <v>1</v>
      </c>
      <c r="I359">
        <v>9.5180000000000007</v>
      </c>
      <c r="J359">
        <v>816.57599000000005</v>
      </c>
      <c r="K359" t="s">
        <v>628</v>
      </c>
      <c r="L359" t="s">
        <v>660</v>
      </c>
      <c r="N359" t="s">
        <v>1121</v>
      </c>
      <c r="O359" t="s">
        <v>1132</v>
      </c>
      <c r="P359">
        <v>410</v>
      </c>
      <c r="Q359" t="b">
        <v>0</v>
      </c>
      <c r="R359" t="b">
        <v>1</v>
      </c>
      <c r="S359" t="b">
        <v>1</v>
      </c>
      <c r="T359" t="s">
        <v>7</v>
      </c>
      <c r="U359" t="b">
        <v>0</v>
      </c>
      <c r="V359" t="b">
        <v>0</v>
      </c>
      <c r="W359">
        <v>878</v>
      </c>
      <c r="X359">
        <v>0</v>
      </c>
      <c r="Y359">
        <v>0</v>
      </c>
      <c r="Z359">
        <v>0.99</v>
      </c>
      <c r="AA359">
        <v>0.73799999999999999</v>
      </c>
      <c r="AB359">
        <v>0.82599999999999996</v>
      </c>
      <c r="AC359">
        <v>0.91300000000000003</v>
      </c>
      <c r="AD359">
        <v>8</v>
      </c>
      <c r="AE359">
        <v>2</v>
      </c>
      <c r="AF359">
        <v>2.5089999999999999</v>
      </c>
      <c r="AG359">
        <v>7778.27</v>
      </c>
      <c r="AH359" t="s">
        <v>454</v>
      </c>
      <c r="AI359" t="s">
        <v>1125</v>
      </c>
      <c r="AJ359" t="s">
        <v>1126</v>
      </c>
      <c r="AK359">
        <v>311819</v>
      </c>
      <c r="AL359">
        <v>0</v>
      </c>
      <c r="AM359">
        <v>0</v>
      </c>
      <c r="AN359">
        <v>0</v>
      </c>
      <c r="AO359">
        <v>0</v>
      </c>
      <c r="AP359">
        <v>6025718</v>
      </c>
      <c r="AQ359">
        <v>6113380</v>
      </c>
      <c r="AR359">
        <v>3453914</v>
      </c>
      <c r="AS359">
        <v>3842160</v>
      </c>
      <c r="AT359">
        <v>3848822</v>
      </c>
      <c r="AU359">
        <v>0</v>
      </c>
      <c r="AV359">
        <v>0</v>
      </c>
      <c r="AW359">
        <v>0</v>
      </c>
      <c r="AX359">
        <v>311819</v>
      </c>
      <c r="AY359">
        <v>0</v>
      </c>
      <c r="AZ359">
        <v>0</v>
      </c>
      <c r="BA359">
        <v>0</v>
      </c>
      <c r="BB359">
        <v>0</v>
      </c>
      <c r="BC359">
        <v>6025718.1875</v>
      </c>
      <c r="BD359">
        <v>6113379.9375</v>
      </c>
      <c r="BE359">
        <v>3453914.3125</v>
      </c>
      <c r="BF359">
        <v>3842159.9375</v>
      </c>
      <c r="BG359">
        <v>3848821.75</v>
      </c>
      <c r="BH359">
        <v>0</v>
      </c>
      <c r="BI359">
        <v>0</v>
      </c>
      <c r="BJ359">
        <v>0</v>
      </c>
      <c r="BK359">
        <v>0</v>
      </c>
      <c r="BL359">
        <v>0</v>
      </c>
      <c r="BM359">
        <v>0</v>
      </c>
      <c r="BN359">
        <v>0</v>
      </c>
      <c r="BO359">
        <v>0</v>
      </c>
      <c r="BP359">
        <v>0</v>
      </c>
      <c r="BQ359">
        <v>0</v>
      </c>
      <c r="BR359">
        <v>0</v>
      </c>
      <c r="BS359">
        <v>0</v>
      </c>
      <c r="BT359">
        <v>0</v>
      </c>
      <c r="BU359">
        <v>0</v>
      </c>
      <c r="BV359">
        <v>0</v>
      </c>
      <c r="BW359">
        <v>0</v>
      </c>
    </row>
    <row r="360" spans="1:75" x14ac:dyDescent="0.55000000000000004">
      <c r="A360">
        <v>879</v>
      </c>
      <c r="B360">
        <v>14.045999999999999</v>
      </c>
      <c r="C360">
        <v>816.57647999999995</v>
      </c>
      <c r="D360" t="s">
        <v>1120</v>
      </c>
      <c r="E360" t="s">
        <v>1</v>
      </c>
      <c r="F360" t="s">
        <v>2</v>
      </c>
      <c r="G360">
        <v>0.38</v>
      </c>
      <c r="H360" t="b">
        <v>1</v>
      </c>
      <c r="I360">
        <v>9.5180000000000007</v>
      </c>
      <c r="J360">
        <v>816.57599000000005</v>
      </c>
      <c r="K360" t="s">
        <v>628</v>
      </c>
      <c r="L360" t="s">
        <v>660</v>
      </c>
      <c r="N360" t="s">
        <v>1121</v>
      </c>
      <c r="O360" t="s">
        <v>1137</v>
      </c>
      <c r="P360">
        <v>410</v>
      </c>
      <c r="Q360" t="b">
        <v>0</v>
      </c>
      <c r="R360" t="b">
        <v>1</v>
      </c>
      <c r="S360" t="b">
        <v>1</v>
      </c>
      <c r="T360" t="s">
        <v>7</v>
      </c>
      <c r="U360" t="b">
        <v>0</v>
      </c>
      <c r="V360" t="b">
        <v>0</v>
      </c>
      <c r="W360">
        <v>879</v>
      </c>
      <c r="X360">
        <v>0</v>
      </c>
      <c r="Y360">
        <v>0</v>
      </c>
      <c r="Z360">
        <v>1</v>
      </c>
      <c r="AA360">
        <v>0.77600000000000002</v>
      </c>
      <c r="AB360">
        <v>0.84599999999999997</v>
      </c>
      <c r="AC360">
        <v>0.89600000000000002</v>
      </c>
      <c r="AD360">
        <v>8</v>
      </c>
      <c r="AE360">
        <v>2</v>
      </c>
      <c r="AF360">
        <v>2.5169999999999999</v>
      </c>
      <c r="AG360">
        <v>6662.59</v>
      </c>
      <c r="AH360" t="s">
        <v>927</v>
      </c>
      <c r="AI360" t="s">
        <v>1127</v>
      </c>
      <c r="AJ360" t="s">
        <v>1128</v>
      </c>
      <c r="AK360">
        <v>311819</v>
      </c>
      <c r="AL360">
        <v>0</v>
      </c>
      <c r="AM360">
        <v>0</v>
      </c>
      <c r="AN360">
        <v>0</v>
      </c>
      <c r="AO360">
        <v>0</v>
      </c>
      <c r="AP360">
        <v>3280297</v>
      </c>
      <c r="AQ360">
        <v>3328914</v>
      </c>
      <c r="AR360">
        <v>1781430</v>
      </c>
      <c r="AS360">
        <v>2078491</v>
      </c>
      <c r="AT360">
        <v>2076502</v>
      </c>
      <c r="AU360">
        <v>0</v>
      </c>
      <c r="AV360">
        <v>0</v>
      </c>
      <c r="AW360">
        <v>0</v>
      </c>
      <c r="AX360">
        <v>311819</v>
      </c>
      <c r="AY360">
        <v>0</v>
      </c>
      <c r="AZ360">
        <v>0</v>
      </c>
      <c r="BA360">
        <v>0</v>
      </c>
      <c r="BB360">
        <v>0</v>
      </c>
      <c r="BC360">
        <v>3280297.25</v>
      </c>
      <c r="BD360">
        <v>3328913.625</v>
      </c>
      <c r="BE360">
        <v>1781430.25</v>
      </c>
      <c r="BF360">
        <v>2078491</v>
      </c>
      <c r="BG360">
        <v>2076502.3125</v>
      </c>
      <c r="BH360">
        <v>0</v>
      </c>
      <c r="BI360">
        <v>0</v>
      </c>
      <c r="BJ360">
        <v>0</v>
      </c>
      <c r="BK360">
        <v>0</v>
      </c>
      <c r="BL360">
        <v>0</v>
      </c>
      <c r="BM360">
        <v>0</v>
      </c>
      <c r="BN360">
        <v>0</v>
      </c>
      <c r="BO360">
        <v>0</v>
      </c>
      <c r="BP360">
        <v>0</v>
      </c>
      <c r="BQ360">
        <v>0</v>
      </c>
      <c r="BR360">
        <v>0</v>
      </c>
      <c r="BS360">
        <v>0</v>
      </c>
      <c r="BT360">
        <v>0</v>
      </c>
      <c r="BU360">
        <v>0</v>
      </c>
      <c r="BV360">
        <v>0</v>
      </c>
      <c r="BW360">
        <v>0</v>
      </c>
    </row>
    <row r="361" spans="1:75" x14ac:dyDescent="0.55000000000000004">
      <c r="A361">
        <v>880</v>
      </c>
      <c r="B361">
        <v>16.187000000000001</v>
      </c>
      <c r="C361">
        <v>816.61261000000002</v>
      </c>
      <c r="D361" t="s">
        <v>1129</v>
      </c>
      <c r="E361" t="s">
        <v>1</v>
      </c>
      <c r="F361" t="s">
        <v>2</v>
      </c>
      <c r="G361">
        <v>0.23</v>
      </c>
      <c r="H361" t="b">
        <v>1</v>
      </c>
      <c r="I361">
        <v>10.494999999999999</v>
      </c>
      <c r="J361">
        <v>816.61243000000002</v>
      </c>
      <c r="K361" t="s">
        <v>1130</v>
      </c>
      <c r="L361" t="s">
        <v>329</v>
      </c>
      <c r="N361" t="s">
        <v>1131</v>
      </c>
      <c r="O361" t="s">
        <v>1143</v>
      </c>
      <c r="P361">
        <v>410</v>
      </c>
      <c r="Q361" t="b">
        <v>0</v>
      </c>
      <c r="R361" t="b">
        <v>1</v>
      </c>
      <c r="S361" t="b">
        <v>1</v>
      </c>
      <c r="T361" t="s">
        <v>7</v>
      </c>
      <c r="U361" t="b">
        <v>0</v>
      </c>
      <c r="V361" t="b">
        <v>0</v>
      </c>
      <c r="W361">
        <v>880</v>
      </c>
      <c r="X361">
        <v>0</v>
      </c>
      <c r="Y361">
        <v>0</v>
      </c>
      <c r="Z361">
        <v>0.99</v>
      </c>
      <c r="AA361">
        <v>0.68799999999999994</v>
      </c>
      <c r="AB361">
        <v>0.82799999999999996</v>
      </c>
      <c r="AC361">
        <v>0.85299999999999998</v>
      </c>
      <c r="AD361">
        <v>4</v>
      </c>
      <c r="AE361">
        <v>2</v>
      </c>
      <c r="AF361">
        <v>2.4729999999999999</v>
      </c>
      <c r="AG361">
        <v>505.11</v>
      </c>
      <c r="AH361" t="s">
        <v>927</v>
      </c>
      <c r="AI361" t="s">
        <v>1133</v>
      </c>
      <c r="AJ361" t="s">
        <v>1134</v>
      </c>
      <c r="AK361">
        <v>38485</v>
      </c>
      <c r="AL361">
        <v>0</v>
      </c>
      <c r="AM361">
        <v>0</v>
      </c>
      <c r="AN361">
        <v>0</v>
      </c>
      <c r="AO361">
        <v>0</v>
      </c>
      <c r="AP361">
        <v>509062</v>
      </c>
      <c r="AQ361">
        <v>520132</v>
      </c>
      <c r="AR361">
        <v>263727</v>
      </c>
      <c r="AS361">
        <v>303865</v>
      </c>
      <c r="AT361">
        <v>310077</v>
      </c>
      <c r="AU361">
        <v>0</v>
      </c>
      <c r="AV361">
        <v>0</v>
      </c>
      <c r="AW361">
        <v>0</v>
      </c>
      <c r="AX361">
        <v>38485.375</v>
      </c>
      <c r="AY361">
        <v>0</v>
      </c>
      <c r="AZ361">
        <v>0</v>
      </c>
      <c r="BA361">
        <v>0</v>
      </c>
      <c r="BB361">
        <v>0</v>
      </c>
      <c r="BC361">
        <v>509061.875</v>
      </c>
      <c r="BD361">
        <v>520132.375</v>
      </c>
      <c r="BE361">
        <v>263726.5625</v>
      </c>
      <c r="BF361">
        <v>303864.5625</v>
      </c>
      <c r="BG361">
        <v>310077.25</v>
      </c>
      <c r="BH361">
        <v>0</v>
      </c>
      <c r="BI361">
        <v>0</v>
      </c>
      <c r="BJ361">
        <v>0</v>
      </c>
      <c r="BK361">
        <v>0</v>
      </c>
      <c r="BL361">
        <v>0</v>
      </c>
      <c r="BM361">
        <v>0</v>
      </c>
      <c r="BN361">
        <v>0</v>
      </c>
      <c r="BO361">
        <v>0</v>
      </c>
      <c r="BP361">
        <v>0</v>
      </c>
      <c r="BQ361">
        <v>0</v>
      </c>
      <c r="BR361">
        <v>0</v>
      </c>
      <c r="BS361">
        <v>0</v>
      </c>
      <c r="BT361">
        <v>0</v>
      </c>
      <c r="BU361">
        <v>0</v>
      </c>
      <c r="BV361">
        <v>0</v>
      </c>
      <c r="BW361">
        <v>0</v>
      </c>
    </row>
    <row r="362" spans="1:75" x14ac:dyDescent="0.55000000000000004">
      <c r="A362">
        <v>882</v>
      </c>
      <c r="B362">
        <v>15.551</v>
      </c>
      <c r="C362">
        <v>816.61315999999999</v>
      </c>
      <c r="D362" t="s">
        <v>1135</v>
      </c>
      <c r="E362" t="s">
        <v>1</v>
      </c>
      <c r="F362" t="s">
        <v>2</v>
      </c>
      <c r="G362">
        <v>0.23</v>
      </c>
      <c r="H362" t="b">
        <v>1</v>
      </c>
      <c r="I362">
        <v>10.827</v>
      </c>
      <c r="J362">
        <v>816.61243000000002</v>
      </c>
      <c r="K362" t="s">
        <v>1130</v>
      </c>
      <c r="L362" t="s">
        <v>329</v>
      </c>
      <c r="N362" t="s">
        <v>1136</v>
      </c>
      <c r="O362" t="s">
        <v>1148</v>
      </c>
      <c r="P362">
        <v>410</v>
      </c>
      <c r="Q362" t="b">
        <v>0</v>
      </c>
      <c r="R362" t="b">
        <v>1</v>
      </c>
      <c r="S362" t="b">
        <v>1</v>
      </c>
      <c r="T362" t="s">
        <v>7</v>
      </c>
      <c r="U362" t="b">
        <v>0</v>
      </c>
      <c r="V362" t="b">
        <v>0</v>
      </c>
      <c r="W362">
        <v>882</v>
      </c>
      <c r="X362">
        <v>0</v>
      </c>
      <c r="Y362">
        <v>0</v>
      </c>
      <c r="Z362">
        <v>0.99</v>
      </c>
      <c r="AA362">
        <v>0.84399999999999997</v>
      </c>
      <c r="AB362">
        <v>0.88900000000000001</v>
      </c>
      <c r="AC362">
        <v>0.91</v>
      </c>
      <c r="AD362">
        <v>5</v>
      </c>
      <c r="AE362">
        <v>2</v>
      </c>
      <c r="AF362">
        <v>2.5430000000000001</v>
      </c>
      <c r="AG362">
        <v>1856.52</v>
      </c>
      <c r="AH362" t="s">
        <v>927</v>
      </c>
      <c r="AI362" t="s">
        <v>1138</v>
      </c>
      <c r="AJ362" t="s">
        <v>1139</v>
      </c>
      <c r="AK362">
        <v>152766</v>
      </c>
      <c r="AL362">
        <v>0</v>
      </c>
      <c r="AM362">
        <v>0</v>
      </c>
      <c r="AN362">
        <v>0</v>
      </c>
      <c r="AO362">
        <v>0</v>
      </c>
      <c r="AP362">
        <v>2084455</v>
      </c>
      <c r="AQ362">
        <v>2102979</v>
      </c>
      <c r="AR362">
        <v>991797</v>
      </c>
      <c r="AS362">
        <v>1151260</v>
      </c>
      <c r="AT362">
        <v>1154670</v>
      </c>
      <c r="AU362">
        <v>0</v>
      </c>
      <c r="AV362">
        <v>0</v>
      </c>
      <c r="AW362">
        <v>0</v>
      </c>
      <c r="AX362">
        <v>152766.1875</v>
      </c>
      <c r="AY362">
        <v>0</v>
      </c>
      <c r="AZ362">
        <v>0</v>
      </c>
      <c r="BA362">
        <v>0</v>
      </c>
      <c r="BB362">
        <v>0</v>
      </c>
      <c r="BC362">
        <v>2084454.6875</v>
      </c>
      <c r="BD362">
        <v>2102979</v>
      </c>
      <c r="BE362">
        <v>991797</v>
      </c>
      <c r="BF362">
        <v>1151260.1875</v>
      </c>
      <c r="BG362">
        <v>1154670</v>
      </c>
      <c r="BH362">
        <v>0</v>
      </c>
      <c r="BI362">
        <v>0</v>
      </c>
      <c r="BJ362">
        <v>0</v>
      </c>
      <c r="BK362">
        <v>0</v>
      </c>
      <c r="BL362">
        <v>0</v>
      </c>
      <c r="BM362">
        <v>0</v>
      </c>
      <c r="BN362">
        <v>0</v>
      </c>
      <c r="BO362">
        <v>0</v>
      </c>
      <c r="BP362">
        <v>0</v>
      </c>
      <c r="BQ362">
        <v>0</v>
      </c>
      <c r="BR362">
        <v>0</v>
      </c>
      <c r="BS362">
        <v>0</v>
      </c>
      <c r="BT362">
        <v>0</v>
      </c>
      <c r="BU362">
        <v>0</v>
      </c>
      <c r="BV362">
        <v>0</v>
      </c>
      <c r="BW362">
        <v>0</v>
      </c>
    </row>
    <row r="363" spans="1:75" x14ac:dyDescent="0.55000000000000004">
      <c r="A363">
        <v>890</v>
      </c>
      <c r="B363">
        <v>16.274000000000001</v>
      </c>
      <c r="C363">
        <v>817.64428999999996</v>
      </c>
      <c r="D363" t="s">
        <v>1140</v>
      </c>
      <c r="E363" t="s">
        <v>1</v>
      </c>
      <c r="F363" t="s">
        <v>2</v>
      </c>
      <c r="G363">
        <v>0.23</v>
      </c>
      <c r="H363" t="b">
        <v>1</v>
      </c>
      <c r="I363">
        <v>11.541</v>
      </c>
      <c r="J363">
        <v>817.64398000000006</v>
      </c>
      <c r="K363" t="s">
        <v>1141</v>
      </c>
      <c r="L363" t="s">
        <v>181</v>
      </c>
      <c r="N363" t="s">
        <v>1142</v>
      </c>
      <c r="O363" t="s">
        <v>1148</v>
      </c>
      <c r="P363">
        <v>410</v>
      </c>
      <c r="Q363" t="b">
        <v>0</v>
      </c>
      <c r="R363" t="b">
        <v>1</v>
      </c>
      <c r="S363" t="b">
        <v>1</v>
      </c>
      <c r="T363" t="s">
        <v>7</v>
      </c>
      <c r="U363" t="b">
        <v>0</v>
      </c>
      <c r="V363" t="b">
        <v>0</v>
      </c>
      <c r="W363">
        <v>890</v>
      </c>
      <c r="X363">
        <v>0</v>
      </c>
      <c r="Y363">
        <v>0</v>
      </c>
      <c r="Z363">
        <v>1</v>
      </c>
      <c r="AA363">
        <v>0.86699999999999999</v>
      </c>
      <c r="AB363">
        <v>0.91</v>
      </c>
      <c r="AC363">
        <v>0.94499999999999995</v>
      </c>
      <c r="AD363">
        <v>5</v>
      </c>
      <c r="AE363">
        <v>2</v>
      </c>
      <c r="AF363">
        <v>2.57</v>
      </c>
      <c r="AG363">
        <v>17756.87</v>
      </c>
      <c r="AH363" t="s">
        <v>927</v>
      </c>
      <c r="AI363" t="s">
        <v>1144</v>
      </c>
      <c r="AJ363" t="s">
        <v>1145</v>
      </c>
      <c r="AK363">
        <v>919083</v>
      </c>
      <c r="AL363">
        <v>0</v>
      </c>
      <c r="AM363">
        <v>0</v>
      </c>
      <c r="AN363">
        <v>0</v>
      </c>
      <c r="AO363">
        <v>0</v>
      </c>
      <c r="AP363">
        <v>10788260</v>
      </c>
      <c r="AQ363">
        <v>10852414</v>
      </c>
      <c r="AR363">
        <v>5790597</v>
      </c>
      <c r="AS363">
        <v>7043800</v>
      </c>
      <c r="AT363">
        <v>6693697</v>
      </c>
      <c r="AU363">
        <v>0</v>
      </c>
      <c r="AV363">
        <v>0</v>
      </c>
      <c r="AW363">
        <v>0</v>
      </c>
      <c r="AX363">
        <v>919083.4375</v>
      </c>
      <c r="AY363">
        <v>0</v>
      </c>
      <c r="AZ363">
        <v>0</v>
      </c>
      <c r="BA363">
        <v>0</v>
      </c>
      <c r="BB363">
        <v>0</v>
      </c>
      <c r="BC363">
        <v>10788260.0625</v>
      </c>
      <c r="BD363">
        <v>10852414.375</v>
      </c>
      <c r="BE363">
        <v>5790597.25</v>
      </c>
      <c r="BF363">
        <v>7043800.125</v>
      </c>
      <c r="BG363">
        <v>6693697.375</v>
      </c>
      <c r="BH363">
        <v>0</v>
      </c>
      <c r="BI363">
        <v>0</v>
      </c>
      <c r="BJ363">
        <v>0</v>
      </c>
      <c r="BK363">
        <v>0</v>
      </c>
      <c r="BL363">
        <v>0</v>
      </c>
      <c r="BM363">
        <v>0</v>
      </c>
      <c r="BN363">
        <v>0</v>
      </c>
      <c r="BO363">
        <v>0</v>
      </c>
      <c r="BP363">
        <v>0</v>
      </c>
      <c r="BQ363">
        <v>0</v>
      </c>
      <c r="BR363">
        <v>0</v>
      </c>
      <c r="BS363">
        <v>0</v>
      </c>
      <c r="BT363">
        <v>0</v>
      </c>
      <c r="BU363">
        <v>0</v>
      </c>
      <c r="BV363">
        <v>0</v>
      </c>
      <c r="BW363">
        <v>0</v>
      </c>
    </row>
    <row r="364" spans="1:75" x14ac:dyDescent="0.55000000000000004">
      <c r="A364">
        <v>914</v>
      </c>
      <c r="B364">
        <v>15.204000000000001</v>
      </c>
      <c r="C364">
        <v>818.59173999999996</v>
      </c>
      <c r="D364" t="s">
        <v>1146</v>
      </c>
      <c r="E364" t="s">
        <v>1</v>
      </c>
      <c r="F364" t="s">
        <v>2</v>
      </c>
      <c r="G364">
        <v>0.46</v>
      </c>
      <c r="H364" t="b">
        <v>1</v>
      </c>
      <c r="I364">
        <v>10.273</v>
      </c>
      <c r="J364">
        <v>818.59167000000002</v>
      </c>
      <c r="K364" t="s">
        <v>644</v>
      </c>
      <c r="L364" t="s">
        <v>660</v>
      </c>
      <c r="N364" t="s">
        <v>1147</v>
      </c>
      <c r="O364" t="s">
        <v>1156</v>
      </c>
      <c r="P364">
        <v>410</v>
      </c>
      <c r="Q364" t="b">
        <v>0</v>
      </c>
      <c r="R364" t="b">
        <v>1</v>
      </c>
      <c r="S364" t="b">
        <v>1</v>
      </c>
      <c r="T364" t="s">
        <v>7</v>
      </c>
      <c r="U364" t="b">
        <v>0</v>
      </c>
      <c r="V364" t="b">
        <v>0</v>
      </c>
      <c r="W364">
        <v>914</v>
      </c>
      <c r="X364">
        <v>0</v>
      </c>
      <c r="Y364">
        <v>0</v>
      </c>
      <c r="Z364">
        <v>1</v>
      </c>
      <c r="AA364">
        <v>0.52300000000000002</v>
      </c>
      <c r="AB364">
        <v>0.60399999999999998</v>
      </c>
      <c r="AC364">
        <v>0.84199999999999997</v>
      </c>
      <c r="AD364">
        <v>5</v>
      </c>
      <c r="AE364">
        <v>2</v>
      </c>
      <c r="AF364">
        <v>2.3879999999999999</v>
      </c>
      <c r="AG364">
        <v>5528.4</v>
      </c>
      <c r="AH364" t="s">
        <v>990</v>
      </c>
      <c r="AI364" t="s">
        <v>1149</v>
      </c>
      <c r="AJ364" t="s">
        <v>1150</v>
      </c>
      <c r="AK364">
        <v>257468</v>
      </c>
      <c r="AL364">
        <v>0</v>
      </c>
      <c r="AM364">
        <v>0</v>
      </c>
      <c r="AN364">
        <v>0</v>
      </c>
      <c r="AO364">
        <v>0</v>
      </c>
      <c r="AP364">
        <v>2873372</v>
      </c>
      <c r="AQ364">
        <v>2908808</v>
      </c>
      <c r="AR364">
        <v>1493428</v>
      </c>
      <c r="AS364">
        <v>1749310</v>
      </c>
      <c r="AT364">
        <v>1743213</v>
      </c>
      <c r="AU364">
        <v>0</v>
      </c>
      <c r="AV364">
        <v>0</v>
      </c>
      <c r="AW364">
        <v>0</v>
      </c>
      <c r="AX364">
        <v>257467.6875</v>
      </c>
      <c r="AY364">
        <v>0</v>
      </c>
      <c r="AZ364">
        <v>0</v>
      </c>
      <c r="BA364">
        <v>0</v>
      </c>
      <c r="BB364">
        <v>0</v>
      </c>
      <c r="BC364">
        <v>2873371.625</v>
      </c>
      <c r="BD364">
        <v>2908807.5</v>
      </c>
      <c r="BE364">
        <v>1493427.5625</v>
      </c>
      <c r="BF364">
        <v>1749309.8125</v>
      </c>
      <c r="BG364">
        <v>1743213.25</v>
      </c>
      <c r="BH364">
        <v>0</v>
      </c>
      <c r="BI364">
        <v>0</v>
      </c>
      <c r="BJ364">
        <v>0</v>
      </c>
      <c r="BK364">
        <v>0</v>
      </c>
      <c r="BL364">
        <v>0</v>
      </c>
      <c r="BM364">
        <v>0</v>
      </c>
      <c r="BN364">
        <v>0</v>
      </c>
      <c r="BO364">
        <v>0</v>
      </c>
      <c r="BP364">
        <v>0</v>
      </c>
      <c r="BQ364">
        <v>0</v>
      </c>
      <c r="BR364">
        <v>0</v>
      </c>
      <c r="BS364">
        <v>0</v>
      </c>
      <c r="BT364">
        <v>0</v>
      </c>
      <c r="BU364">
        <v>0</v>
      </c>
      <c r="BV364">
        <v>0</v>
      </c>
      <c r="BW364">
        <v>0</v>
      </c>
    </row>
    <row r="365" spans="1:75" x14ac:dyDescent="0.55000000000000004">
      <c r="A365">
        <v>915</v>
      </c>
      <c r="B365">
        <v>15.006</v>
      </c>
      <c r="C365">
        <v>818.59235000000001</v>
      </c>
      <c r="D365" t="s">
        <v>1146</v>
      </c>
      <c r="E365" t="s">
        <v>1</v>
      </c>
      <c r="F365" t="s">
        <v>2</v>
      </c>
      <c r="G365">
        <v>0.38</v>
      </c>
      <c r="H365" t="b">
        <v>1</v>
      </c>
      <c r="I365">
        <v>10.273</v>
      </c>
      <c r="J365">
        <v>818.59167000000002</v>
      </c>
      <c r="K365" t="s">
        <v>644</v>
      </c>
      <c r="L365" t="s">
        <v>660</v>
      </c>
      <c r="N365" t="s">
        <v>1147</v>
      </c>
      <c r="O365" t="s">
        <v>1156</v>
      </c>
      <c r="P365">
        <v>410</v>
      </c>
      <c r="Q365" t="b">
        <v>0</v>
      </c>
      <c r="R365" t="b">
        <v>1</v>
      </c>
      <c r="S365" t="b">
        <v>1</v>
      </c>
      <c r="T365" t="s">
        <v>7</v>
      </c>
      <c r="U365" t="b">
        <v>0</v>
      </c>
      <c r="V365" t="b">
        <v>0</v>
      </c>
      <c r="W365">
        <v>915</v>
      </c>
      <c r="X365">
        <v>0</v>
      </c>
      <c r="Y365">
        <v>0</v>
      </c>
      <c r="Z365">
        <v>1</v>
      </c>
      <c r="AA365">
        <v>0.77500000000000002</v>
      </c>
      <c r="AB365">
        <v>0.83599999999999997</v>
      </c>
      <c r="AC365">
        <v>0.91300000000000003</v>
      </c>
      <c r="AD365">
        <v>9</v>
      </c>
      <c r="AE365">
        <v>2</v>
      </c>
      <c r="AF365">
        <v>2.52</v>
      </c>
      <c r="AG365">
        <v>2584.89</v>
      </c>
      <c r="AH365" t="s">
        <v>927</v>
      </c>
      <c r="AI365" t="s">
        <v>1151</v>
      </c>
      <c r="AJ365" t="s">
        <v>1152</v>
      </c>
      <c r="AK365">
        <v>102496</v>
      </c>
      <c r="AL365">
        <v>0</v>
      </c>
      <c r="AM365">
        <v>0</v>
      </c>
      <c r="AN365">
        <v>0</v>
      </c>
      <c r="AO365">
        <v>0</v>
      </c>
      <c r="AP365">
        <v>1088973</v>
      </c>
      <c r="AQ365">
        <v>1106273</v>
      </c>
      <c r="AR365">
        <v>578460</v>
      </c>
      <c r="AS365">
        <v>679573</v>
      </c>
      <c r="AT365">
        <v>677354</v>
      </c>
      <c r="AU365">
        <v>0</v>
      </c>
      <c r="AV365">
        <v>0</v>
      </c>
      <c r="AW365">
        <v>0</v>
      </c>
      <c r="AX365">
        <v>102496.125</v>
      </c>
      <c r="AY365">
        <v>0</v>
      </c>
      <c r="AZ365">
        <v>0</v>
      </c>
      <c r="BA365">
        <v>0</v>
      </c>
      <c r="BB365">
        <v>0</v>
      </c>
      <c r="BC365">
        <v>1088973.125</v>
      </c>
      <c r="BD365">
        <v>1106273.375</v>
      </c>
      <c r="BE365">
        <v>578459.625</v>
      </c>
      <c r="BF365">
        <v>679573.4375</v>
      </c>
      <c r="BG365">
        <v>677353.5</v>
      </c>
      <c r="BH365">
        <v>0</v>
      </c>
      <c r="BI365">
        <v>0</v>
      </c>
      <c r="BJ365">
        <v>0</v>
      </c>
      <c r="BK365">
        <v>0</v>
      </c>
      <c r="BL365">
        <v>0</v>
      </c>
      <c r="BM365">
        <v>0</v>
      </c>
      <c r="BN365">
        <v>0</v>
      </c>
      <c r="BO365">
        <v>0</v>
      </c>
      <c r="BP365">
        <v>0</v>
      </c>
      <c r="BQ365">
        <v>0</v>
      </c>
      <c r="BR365">
        <v>0</v>
      </c>
      <c r="BS365">
        <v>0</v>
      </c>
      <c r="BT365">
        <v>0</v>
      </c>
      <c r="BU365">
        <v>0</v>
      </c>
      <c r="BV365">
        <v>0</v>
      </c>
      <c r="BW365">
        <v>0</v>
      </c>
    </row>
    <row r="366" spans="1:75" x14ac:dyDescent="0.55000000000000004">
      <c r="A366">
        <v>934</v>
      </c>
      <c r="B366">
        <v>14.558999999999999</v>
      </c>
      <c r="C366">
        <v>820.58447000000001</v>
      </c>
      <c r="D366" t="s">
        <v>1153</v>
      </c>
      <c r="E366" t="s">
        <v>32</v>
      </c>
      <c r="F366" t="s">
        <v>2</v>
      </c>
      <c r="G366">
        <v>0.31</v>
      </c>
      <c r="H366" t="b">
        <v>1</v>
      </c>
      <c r="I366">
        <v>9.9760000000000009</v>
      </c>
      <c r="J366">
        <v>820.58618000000001</v>
      </c>
      <c r="K366" t="s">
        <v>1154</v>
      </c>
      <c r="L366" t="s">
        <v>209</v>
      </c>
      <c r="N366" t="s">
        <v>1155</v>
      </c>
      <c r="O366" t="s">
        <v>1164</v>
      </c>
      <c r="P366">
        <v>410</v>
      </c>
      <c r="Q366" t="b">
        <v>0</v>
      </c>
      <c r="R366" t="b">
        <v>1</v>
      </c>
      <c r="S366" t="b">
        <v>1</v>
      </c>
      <c r="T366" t="s">
        <v>7</v>
      </c>
      <c r="U366" t="b">
        <v>0</v>
      </c>
      <c r="V366" t="b">
        <v>0</v>
      </c>
      <c r="W366">
        <v>934</v>
      </c>
      <c r="X366">
        <v>0</v>
      </c>
      <c r="Y366">
        <v>0</v>
      </c>
      <c r="Z366">
        <v>0.97</v>
      </c>
      <c r="AA366">
        <v>0.70499999999999996</v>
      </c>
      <c r="AB366">
        <v>0.75</v>
      </c>
      <c r="AC366">
        <v>0.93600000000000005</v>
      </c>
      <c r="AD366">
        <v>5</v>
      </c>
      <c r="AE366">
        <v>2</v>
      </c>
      <c r="AF366">
        <v>2.484</v>
      </c>
      <c r="AG366">
        <v>800.5</v>
      </c>
      <c r="AH366" t="s">
        <v>927</v>
      </c>
      <c r="AI366" t="s">
        <v>1157</v>
      </c>
      <c r="AJ366" t="s">
        <v>1158</v>
      </c>
      <c r="AK366">
        <v>6895</v>
      </c>
      <c r="AL366">
        <v>0</v>
      </c>
      <c r="AM366">
        <v>0</v>
      </c>
      <c r="AN366">
        <v>0</v>
      </c>
      <c r="AO366">
        <v>0</v>
      </c>
      <c r="AP366">
        <v>310772</v>
      </c>
      <c r="AQ366">
        <v>316543</v>
      </c>
      <c r="AR366">
        <v>194464</v>
      </c>
      <c r="AS366">
        <v>208279</v>
      </c>
      <c r="AT366">
        <v>209377</v>
      </c>
      <c r="AU366">
        <v>0</v>
      </c>
      <c r="AV366">
        <v>0</v>
      </c>
      <c r="AW366">
        <v>0</v>
      </c>
      <c r="AX366">
        <v>6895.4375</v>
      </c>
      <c r="AY366">
        <v>0</v>
      </c>
      <c r="AZ366">
        <v>0</v>
      </c>
      <c r="BA366">
        <v>0</v>
      </c>
      <c r="BB366">
        <v>0</v>
      </c>
      <c r="BC366">
        <v>310771.5</v>
      </c>
      <c r="BD366">
        <v>316542.9375</v>
      </c>
      <c r="BE366">
        <v>194464.25</v>
      </c>
      <c r="BF366">
        <v>208279</v>
      </c>
      <c r="BG366">
        <v>209376.875</v>
      </c>
      <c r="BH366">
        <v>0</v>
      </c>
      <c r="BI366">
        <v>0</v>
      </c>
      <c r="BJ366">
        <v>0</v>
      </c>
      <c r="BK366">
        <v>0</v>
      </c>
      <c r="BL366">
        <v>0</v>
      </c>
      <c r="BM366">
        <v>0</v>
      </c>
      <c r="BN366">
        <v>0</v>
      </c>
      <c r="BO366">
        <v>0</v>
      </c>
      <c r="BP366">
        <v>0</v>
      </c>
      <c r="BQ366">
        <v>0</v>
      </c>
      <c r="BR366">
        <v>0</v>
      </c>
      <c r="BS366">
        <v>0</v>
      </c>
      <c r="BT366">
        <v>0</v>
      </c>
      <c r="BU366">
        <v>0</v>
      </c>
      <c r="BV366">
        <v>0</v>
      </c>
      <c r="BW366">
        <v>0</v>
      </c>
    </row>
    <row r="367" spans="1:75" x14ac:dyDescent="0.55000000000000004">
      <c r="A367">
        <v>935</v>
      </c>
      <c r="B367">
        <v>14.643000000000001</v>
      </c>
      <c r="C367">
        <v>820.58459000000005</v>
      </c>
      <c r="D367" t="s">
        <v>1153</v>
      </c>
      <c r="E367" t="s">
        <v>32</v>
      </c>
      <c r="F367" t="s">
        <v>2</v>
      </c>
      <c r="G367">
        <v>0.15</v>
      </c>
      <c r="H367" t="b">
        <v>1</v>
      </c>
      <c r="I367">
        <v>9.9760000000000009</v>
      </c>
      <c r="J367">
        <v>820.58618000000001</v>
      </c>
      <c r="K367" t="s">
        <v>1154</v>
      </c>
      <c r="L367" t="s">
        <v>209</v>
      </c>
      <c r="N367" t="s">
        <v>1155</v>
      </c>
      <c r="O367" t="s">
        <v>1170</v>
      </c>
      <c r="P367">
        <v>410</v>
      </c>
      <c r="Q367" t="b">
        <v>0</v>
      </c>
      <c r="R367" t="b">
        <v>1</v>
      </c>
      <c r="S367" t="b">
        <v>1</v>
      </c>
      <c r="T367" t="s">
        <v>7</v>
      </c>
      <c r="U367" t="b">
        <v>0</v>
      </c>
      <c r="V367" t="b">
        <v>0</v>
      </c>
      <c r="W367">
        <v>935</v>
      </c>
      <c r="X367">
        <v>0</v>
      </c>
      <c r="Y367">
        <v>0</v>
      </c>
      <c r="Z367">
        <v>0.98</v>
      </c>
      <c r="AA367">
        <v>0.32400000000000001</v>
      </c>
      <c r="AB367">
        <v>0.36599999999999999</v>
      </c>
      <c r="AC367">
        <v>0.86399999999999999</v>
      </c>
      <c r="AD367">
        <v>2</v>
      </c>
      <c r="AE367">
        <v>2</v>
      </c>
      <c r="AF367">
        <v>2.294</v>
      </c>
      <c r="AG367">
        <v>500.08</v>
      </c>
      <c r="AH367" t="s">
        <v>1011</v>
      </c>
      <c r="AI367" t="s">
        <v>1159</v>
      </c>
      <c r="AJ367" t="s">
        <v>1160</v>
      </c>
      <c r="AK367">
        <v>48963</v>
      </c>
      <c r="AL367">
        <v>0</v>
      </c>
      <c r="AM367">
        <v>0</v>
      </c>
      <c r="AN367">
        <v>0</v>
      </c>
      <c r="AO367">
        <v>0</v>
      </c>
      <c r="AP367">
        <v>310772</v>
      </c>
      <c r="AQ367">
        <v>29750</v>
      </c>
      <c r="AR367">
        <v>194464</v>
      </c>
      <c r="AS367">
        <v>208279</v>
      </c>
      <c r="AT367">
        <v>209377</v>
      </c>
      <c r="AU367">
        <v>0</v>
      </c>
      <c r="AV367">
        <v>0</v>
      </c>
      <c r="AW367">
        <v>0</v>
      </c>
      <c r="AX367">
        <v>48962.5625</v>
      </c>
      <c r="AY367">
        <v>0</v>
      </c>
      <c r="AZ367">
        <v>0</v>
      </c>
      <c r="BA367">
        <v>0</v>
      </c>
      <c r="BB367">
        <v>0</v>
      </c>
      <c r="BC367">
        <v>310771.5</v>
      </c>
      <c r="BD367">
        <v>29749.9375</v>
      </c>
      <c r="BE367">
        <v>194464.25</v>
      </c>
      <c r="BF367">
        <v>208279</v>
      </c>
      <c r="BG367">
        <v>209376.875</v>
      </c>
      <c r="BH367">
        <v>0</v>
      </c>
      <c r="BI367">
        <v>0</v>
      </c>
      <c r="BJ367">
        <v>0</v>
      </c>
      <c r="BK367">
        <v>0</v>
      </c>
      <c r="BL367">
        <v>0</v>
      </c>
      <c r="BM367">
        <v>0</v>
      </c>
      <c r="BN367">
        <v>0</v>
      </c>
      <c r="BO367">
        <v>0</v>
      </c>
      <c r="BP367">
        <v>0</v>
      </c>
      <c r="BQ367">
        <v>0</v>
      </c>
      <c r="BR367">
        <v>0</v>
      </c>
      <c r="BS367">
        <v>0</v>
      </c>
      <c r="BT367">
        <v>0</v>
      </c>
      <c r="BU367">
        <v>0</v>
      </c>
      <c r="BV367">
        <v>0</v>
      </c>
      <c r="BW367">
        <v>0</v>
      </c>
    </row>
    <row r="368" spans="1:75" x14ac:dyDescent="0.55000000000000004">
      <c r="A368">
        <v>947</v>
      </c>
      <c r="B368">
        <v>11.315</v>
      </c>
      <c r="C368">
        <v>822.52904999999998</v>
      </c>
      <c r="D368" t="s">
        <v>1161</v>
      </c>
      <c r="E368" t="s">
        <v>1</v>
      </c>
      <c r="F368" t="s">
        <v>2</v>
      </c>
      <c r="G368">
        <v>0.23</v>
      </c>
      <c r="H368" t="b">
        <v>1</v>
      </c>
      <c r="I368">
        <v>8.4589999999999996</v>
      </c>
      <c r="J368">
        <v>822.52910999999995</v>
      </c>
      <c r="K368" t="s">
        <v>1162</v>
      </c>
      <c r="L368" t="s">
        <v>660</v>
      </c>
      <c r="N368" t="s">
        <v>1163</v>
      </c>
      <c r="O368" t="s">
        <v>1176</v>
      </c>
      <c r="P368">
        <v>410</v>
      </c>
      <c r="Q368" t="b">
        <v>0</v>
      </c>
      <c r="R368" t="b">
        <v>1</v>
      </c>
      <c r="S368" t="b">
        <v>1</v>
      </c>
      <c r="T368" t="s">
        <v>7</v>
      </c>
      <c r="U368" t="b">
        <v>0</v>
      </c>
      <c r="V368" t="b">
        <v>0</v>
      </c>
      <c r="W368">
        <v>947</v>
      </c>
      <c r="X368">
        <v>0</v>
      </c>
      <c r="Y368">
        <v>0</v>
      </c>
      <c r="Z368">
        <v>1</v>
      </c>
      <c r="AA368">
        <v>0.49199999999999999</v>
      </c>
      <c r="AB368">
        <v>0.66300000000000003</v>
      </c>
      <c r="AC368">
        <v>0.86199999999999999</v>
      </c>
      <c r="AD368">
        <v>4</v>
      </c>
      <c r="AE368">
        <v>2</v>
      </c>
      <c r="AF368">
        <v>2.4020000000000001</v>
      </c>
      <c r="AG368">
        <v>491.57</v>
      </c>
      <c r="AH368" t="s">
        <v>927</v>
      </c>
      <c r="AI368" t="s">
        <v>1165</v>
      </c>
      <c r="AJ368" t="s">
        <v>1166</v>
      </c>
      <c r="AK368">
        <v>21201</v>
      </c>
      <c r="AL368">
        <v>0</v>
      </c>
      <c r="AM368">
        <v>0</v>
      </c>
      <c r="AN368">
        <v>0</v>
      </c>
      <c r="AO368">
        <v>0</v>
      </c>
      <c r="AP368">
        <v>326089</v>
      </c>
      <c r="AQ368">
        <v>39712</v>
      </c>
      <c r="AR368">
        <v>151167</v>
      </c>
      <c r="AS368">
        <v>174277</v>
      </c>
      <c r="AT368">
        <v>184963</v>
      </c>
      <c r="AU368">
        <v>0</v>
      </c>
      <c r="AV368">
        <v>0</v>
      </c>
      <c r="AW368">
        <v>0</v>
      </c>
      <c r="AX368">
        <v>21201.0625</v>
      </c>
      <c r="AY368">
        <v>0</v>
      </c>
      <c r="AZ368">
        <v>0</v>
      </c>
      <c r="BA368">
        <v>0</v>
      </c>
      <c r="BB368">
        <v>0</v>
      </c>
      <c r="BC368">
        <v>326088.5625</v>
      </c>
      <c r="BD368">
        <v>39711.8125</v>
      </c>
      <c r="BE368">
        <v>151167.375</v>
      </c>
      <c r="BF368">
        <v>174276.75</v>
      </c>
      <c r="BG368">
        <v>184962.5625</v>
      </c>
      <c r="BH368">
        <v>0</v>
      </c>
      <c r="BI368">
        <v>0</v>
      </c>
      <c r="BJ368">
        <v>0</v>
      </c>
      <c r="BK368">
        <v>0</v>
      </c>
      <c r="BL368">
        <v>0</v>
      </c>
      <c r="BM368">
        <v>0</v>
      </c>
      <c r="BN368">
        <v>0</v>
      </c>
      <c r="BO368">
        <v>0</v>
      </c>
      <c r="BP368">
        <v>0</v>
      </c>
      <c r="BQ368">
        <v>0</v>
      </c>
      <c r="BR368">
        <v>0</v>
      </c>
      <c r="BS368">
        <v>0</v>
      </c>
      <c r="BT368">
        <v>0</v>
      </c>
      <c r="BU368">
        <v>0</v>
      </c>
      <c r="BV368">
        <v>0</v>
      </c>
      <c r="BW368">
        <v>0</v>
      </c>
    </row>
    <row r="369" spans="1:75" x14ac:dyDescent="0.55000000000000004">
      <c r="A369">
        <v>953</v>
      </c>
      <c r="B369">
        <v>15.412000000000001</v>
      </c>
      <c r="C369">
        <v>822.60059000000001</v>
      </c>
      <c r="D369" t="s">
        <v>1167</v>
      </c>
      <c r="E369" t="s">
        <v>32</v>
      </c>
      <c r="F369" t="s">
        <v>2</v>
      </c>
      <c r="G369">
        <v>0.23</v>
      </c>
      <c r="H369" t="b">
        <v>1</v>
      </c>
      <c r="I369">
        <v>11.138999999999999</v>
      </c>
      <c r="J369">
        <v>822.60181</v>
      </c>
      <c r="K369" t="s">
        <v>1168</v>
      </c>
      <c r="L369" t="s">
        <v>209</v>
      </c>
      <c r="N369" t="s">
        <v>1169</v>
      </c>
      <c r="O369" t="s">
        <v>1181</v>
      </c>
      <c r="P369">
        <v>410</v>
      </c>
      <c r="Q369" t="b">
        <v>0</v>
      </c>
      <c r="R369" t="b">
        <v>1</v>
      </c>
      <c r="S369" t="b">
        <v>1</v>
      </c>
      <c r="T369" t="s">
        <v>7</v>
      </c>
      <c r="U369" t="b">
        <v>0</v>
      </c>
      <c r="V369" t="b">
        <v>0</v>
      </c>
      <c r="W369">
        <v>953</v>
      </c>
      <c r="X369">
        <v>0</v>
      </c>
      <c r="Y369">
        <v>0</v>
      </c>
      <c r="Z369">
        <v>0.99</v>
      </c>
      <c r="AA369">
        <v>0.76200000000000001</v>
      </c>
      <c r="AB369">
        <v>0.81699999999999995</v>
      </c>
      <c r="AC369">
        <v>0.92600000000000005</v>
      </c>
      <c r="AD369">
        <v>5</v>
      </c>
      <c r="AE369">
        <v>2</v>
      </c>
      <c r="AF369">
        <v>2.5179999999999998</v>
      </c>
      <c r="AG369">
        <v>438.68</v>
      </c>
      <c r="AH369" t="s">
        <v>927</v>
      </c>
      <c r="AI369" t="s">
        <v>1171</v>
      </c>
      <c r="AJ369" t="s">
        <v>1172</v>
      </c>
      <c r="AK369">
        <v>31001</v>
      </c>
      <c r="AL369">
        <v>0</v>
      </c>
      <c r="AM369">
        <v>0</v>
      </c>
      <c r="AN369">
        <v>0</v>
      </c>
      <c r="AO369">
        <v>0</v>
      </c>
      <c r="AP369">
        <v>350063</v>
      </c>
      <c r="AQ369">
        <v>355007</v>
      </c>
      <c r="AR369">
        <v>188616</v>
      </c>
      <c r="AS369">
        <v>205699</v>
      </c>
      <c r="AT369">
        <v>210016</v>
      </c>
      <c r="AU369">
        <v>0</v>
      </c>
      <c r="AV369">
        <v>0</v>
      </c>
      <c r="AW369">
        <v>0</v>
      </c>
      <c r="AX369">
        <v>31001</v>
      </c>
      <c r="AY369">
        <v>0</v>
      </c>
      <c r="AZ369">
        <v>0</v>
      </c>
      <c r="BA369">
        <v>0</v>
      </c>
      <c r="BB369">
        <v>0</v>
      </c>
      <c r="BC369">
        <v>350062.8125</v>
      </c>
      <c r="BD369">
        <v>355007.25</v>
      </c>
      <c r="BE369">
        <v>188616.5</v>
      </c>
      <c r="BF369">
        <v>205699.375</v>
      </c>
      <c r="BG369">
        <v>210016.125</v>
      </c>
      <c r="BH369">
        <v>0</v>
      </c>
      <c r="BI369">
        <v>0</v>
      </c>
      <c r="BJ369">
        <v>0</v>
      </c>
      <c r="BK369">
        <v>0</v>
      </c>
      <c r="BL369">
        <v>0</v>
      </c>
      <c r="BM369">
        <v>0</v>
      </c>
      <c r="BN369">
        <v>0</v>
      </c>
      <c r="BO369">
        <v>0</v>
      </c>
      <c r="BP369">
        <v>0</v>
      </c>
      <c r="BQ369">
        <v>0</v>
      </c>
      <c r="BR369">
        <v>0</v>
      </c>
      <c r="BS369">
        <v>0</v>
      </c>
      <c r="BT369">
        <v>0</v>
      </c>
      <c r="BU369">
        <v>0</v>
      </c>
      <c r="BV369">
        <v>0</v>
      </c>
      <c r="BW369">
        <v>0</v>
      </c>
    </row>
    <row r="370" spans="1:75" x14ac:dyDescent="0.55000000000000004">
      <c r="A370">
        <v>969</v>
      </c>
      <c r="B370">
        <v>11.272</v>
      </c>
      <c r="C370">
        <v>824.54407000000003</v>
      </c>
      <c r="D370" t="s">
        <v>1173</v>
      </c>
      <c r="E370" t="s">
        <v>1</v>
      </c>
      <c r="F370" t="s">
        <v>2</v>
      </c>
      <c r="G370">
        <v>0.23</v>
      </c>
      <c r="H370" t="b">
        <v>1</v>
      </c>
      <c r="I370">
        <v>8.4969999999999999</v>
      </c>
      <c r="J370">
        <v>824.54467999999997</v>
      </c>
      <c r="K370" t="s">
        <v>1174</v>
      </c>
      <c r="L370" t="s">
        <v>660</v>
      </c>
      <c r="N370" t="s">
        <v>1175</v>
      </c>
      <c r="O370" t="s">
        <v>1186</v>
      </c>
      <c r="P370">
        <v>410</v>
      </c>
      <c r="Q370" t="b">
        <v>0</v>
      </c>
      <c r="R370" t="b">
        <v>1</v>
      </c>
      <c r="S370" t="b">
        <v>1</v>
      </c>
      <c r="T370" t="s">
        <v>7</v>
      </c>
      <c r="U370" t="b">
        <v>0</v>
      </c>
      <c r="V370" t="b">
        <v>0</v>
      </c>
      <c r="W370">
        <v>969</v>
      </c>
      <c r="X370">
        <v>0</v>
      </c>
      <c r="Y370">
        <v>0</v>
      </c>
      <c r="Z370">
        <v>0.99</v>
      </c>
      <c r="AA370">
        <v>0.64100000000000001</v>
      </c>
      <c r="AB370">
        <v>0.72499999999999998</v>
      </c>
      <c r="AC370">
        <v>0.88300000000000001</v>
      </c>
      <c r="AD370">
        <v>6</v>
      </c>
      <c r="AE370">
        <v>2</v>
      </c>
      <c r="AF370">
        <v>2.4540000000000002</v>
      </c>
      <c r="AG370">
        <v>2060.7800000000002</v>
      </c>
      <c r="AH370" t="s">
        <v>960</v>
      </c>
      <c r="AI370" t="s">
        <v>1177</v>
      </c>
      <c r="AJ370" t="s">
        <v>1178</v>
      </c>
      <c r="AK370">
        <v>10458</v>
      </c>
      <c r="AL370">
        <v>0</v>
      </c>
      <c r="AM370">
        <v>0</v>
      </c>
      <c r="AN370">
        <v>0</v>
      </c>
      <c r="AO370">
        <v>0</v>
      </c>
      <c r="AP370">
        <v>650543</v>
      </c>
      <c r="AQ370">
        <v>662409</v>
      </c>
      <c r="AR370">
        <v>124695</v>
      </c>
      <c r="AS370">
        <v>345605</v>
      </c>
      <c r="AT370">
        <v>361418</v>
      </c>
      <c r="AU370">
        <v>0</v>
      </c>
      <c r="AV370">
        <v>0</v>
      </c>
      <c r="AW370">
        <v>0</v>
      </c>
      <c r="AX370">
        <v>10458.0625</v>
      </c>
      <c r="AY370">
        <v>0</v>
      </c>
      <c r="AZ370">
        <v>0</v>
      </c>
      <c r="BA370">
        <v>0</v>
      </c>
      <c r="BB370">
        <v>0</v>
      </c>
      <c r="BC370">
        <v>650542.625</v>
      </c>
      <c r="BD370">
        <v>662408.9375</v>
      </c>
      <c r="BE370">
        <v>124695.375</v>
      </c>
      <c r="BF370">
        <v>345605</v>
      </c>
      <c r="BG370">
        <v>361417.5625</v>
      </c>
      <c r="BH370">
        <v>0</v>
      </c>
      <c r="BI370">
        <v>0</v>
      </c>
      <c r="BJ370">
        <v>0</v>
      </c>
      <c r="BK370">
        <v>0</v>
      </c>
      <c r="BL370">
        <v>0</v>
      </c>
      <c r="BM370">
        <v>0</v>
      </c>
      <c r="BN370">
        <v>0</v>
      </c>
      <c r="BO370">
        <v>0</v>
      </c>
      <c r="BP370">
        <v>0</v>
      </c>
      <c r="BQ370">
        <v>0</v>
      </c>
      <c r="BR370">
        <v>0</v>
      </c>
      <c r="BS370">
        <v>0</v>
      </c>
      <c r="BT370">
        <v>0</v>
      </c>
      <c r="BU370">
        <v>0</v>
      </c>
      <c r="BV370">
        <v>0</v>
      </c>
      <c r="BW370">
        <v>0</v>
      </c>
    </row>
    <row r="371" spans="1:75" x14ac:dyDescent="0.55000000000000004">
      <c r="A371">
        <v>971</v>
      </c>
      <c r="B371">
        <v>11.975</v>
      </c>
      <c r="C371">
        <v>824.54474000000005</v>
      </c>
      <c r="D371" t="s">
        <v>1179</v>
      </c>
      <c r="E371" t="s">
        <v>1</v>
      </c>
      <c r="F371" t="s">
        <v>2</v>
      </c>
      <c r="G371">
        <v>0.23</v>
      </c>
      <c r="H371" t="b">
        <v>1</v>
      </c>
      <c r="I371">
        <v>8.7409999999999997</v>
      </c>
      <c r="J371">
        <v>824.54467999999997</v>
      </c>
      <c r="K371" t="s">
        <v>1174</v>
      </c>
      <c r="L371" t="s">
        <v>660</v>
      </c>
      <c r="N371" t="s">
        <v>1180</v>
      </c>
      <c r="O371" t="s">
        <v>1191</v>
      </c>
      <c r="P371">
        <v>410</v>
      </c>
      <c r="Q371" t="b">
        <v>0</v>
      </c>
      <c r="R371" t="b">
        <v>1</v>
      </c>
      <c r="S371" t="b">
        <v>1</v>
      </c>
      <c r="T371" t="s">
        <v>7</v>
      </c>
      <c r="U371" t="b">
        <v>0</v>
      </c>
      <c r="V371" t="b">
        <v>0</v>
      </c>
      <c r="W371">
        <v>971</v>
      </c>
      <c r="X371">
        <v>0</v>
      </c>
      <c r="Y371">
        <v>0</v>
      </c>
      <c r="Z371">
        <v>1</v>
      </c>
      <c r="AA371">
        <v>0.74199999999999999</v>
      </c>
      <c r="AB371">
        <v>0.83699999999999997</v>
      </c>
      <c r="AC371">
        <v>0.88700000000000001</v>
      </c>
      <c r="AD371">
        <v>8</v>
      </c>
      <c r="AE371">
        <v>2</v>
      </c>
      <c r="AF371">
        <v>2.504</v>
      </c>
      <c r="AG371">
        <v>2463.67</v>
      </c>
      <c r="AH371" t="s">
        <v>927</v>
      </c>
      <c r="AI371" t="s">
        <v>1182</v>
      </c>
      <c r="AJ371" t="s">
        <v>1183</v>
      </c>
      <c r="AK371">
        <v>77324</v>
      </c>
      <c r="AL371">
        <v>0</v>
      </c>
      <c r="AM371">
        <v>0</v>
      </c>
      <c r="AN371">
        <v>0</v>
      </c>
      <c r="AO371">
        <v>0</v>
      </c>
      <c r="AP371">
        <v>1179267</v>
      </c>
      <c r="AQ371">
        <v>528756</v>
      </c>
      <c r="AR371">
        <v>575140</v>
      </c>
      <c r="AS371">
        <v>662566</v>
      </c>
      <c r="AT371">
        <v>675047</v>
      </c>
      <c r="AU371">
        <v>0</v>
      </c>
      <c r="AV371">
        <v>0</v>
      </c>
      <c r="AW371">
        <v>0</v>
      </c>
      <c r="AX371">
        <v>77324.375</v>
      </c>
      <c r="AY371">
        <v>0</v>
      </c>
      <c r="AZ371">
        <v>0</v>
      </c>
      <c r="BA371">
        <v>0</v>
      </c>
      <c r="BB371">
        <v>0</v>
      </c>
      <c r="BC371">
        <v>1179267.0625</v>
      </c>
      <c r="BD371">
        <v>528755.5</v>
      </c>
      <c r="BE371">
        <v>575139.875</v>
      </c>
      <c r="BF371">
        <v>662565.625</v>
      </c>
      <c r="BG371">
        <v>675046.6875</v>
      </c>
      <c r="BH371">
        <v>0</v>
      </c>
      <c r="BI371">
        <v>0</v>
      </c>
      <c r="BJ371">
        <v>0</v>
      </c>
      <c r="BK371">
        <v>0</v>
      </c>
      <c r="BL371">
        <v>0</v>
      </c>
      <c r="BM371">
        <v>0</v>
      </c>
      <c r="BN371">
        <v>0</v>
      </c>
      <c r="BO371">
        <v>0</v>
      </c>
      <c r="BP371">
        <v>0</v>
      </c>
      <c r="BQ371">
        <v>0</v>
      </c>
      <c r="BR371">
        <v>0</v>
      </c>
      <c r="BS371">
        <v>0</v>
      </c>
      <c r="BT371">
        <v>0</v>
      </c>
      <c r="BU371">
        <v>0</v>
      </c>
      <c r="BV371">
        <v>0</v>
      </c>
      <c r="BW371">
        <v>0</v>
      </c>
    </row>
    <row r="372" spans="1:75" x14ac:dyDescent="0.55000000000000004">
      <c r="A372">
        <v>972</v>
      </c>
      <c r="B372">
        <v>12.382999999999999</v>
      </c>
      <c r="C372">
        <v>824.54480000000001</v>
      </c>
      <c r="D372" t="s">
        <v>1184</v>
      </c>
      <c r="E372" t="s">
        <v>1</v>
      </c>
      <c r="F372" t="s">
        <v>2</v>
      </c>
      <c r="G372">
        <v>0.23</v>
      </c>
      <c r="H372" t="b">
        <v>1</v>
      </c>
      <c r="I372">
        <v>8.9369999999999994</v>
      </c>
      <c r="J372">
        <v>824.54467999999997</v>
      </c>
      <c r="K372" t="s">
        <v>1174</v>
      </c>
      <c r="L372" t="s">
        <v>660</v>
      </c>
      <c r="N372" t="s">
        <v>1185</v>
      </c>
      <c r="O372" t="s">
        <v>1197</v>
      </c>
      <c r="P372">
        <v>410</v>
      </c>
      <c r="Q372" t="b">
        <v>0</v>
      </c>
      <c r="R372" t="b">
        <v>1</v>
      </c>
      <c r="S372" t="b">
        <v>1</v>
      </c>
      <c r="T372" t="s">
        <v>7</v>
      </c>
      <c r="U372" t="b">
        <v>0</v>
      </c>
      <c r="V372" t="b">
        <v>0</v>
      </c>
      <c r="W372">
        <v>972</v>
      </c>
      <c r="X372">
        <v>0</v>
      </c>
      <c r="Y372">
        <v>0</v>
      </c>
      <c r="Z372">
        <v>0.99</v>
      </c>
      <c r="AA372">
        <v>0.755</v>
      </c>
      <c r="AB372">
        <v>0.83599999999999997</v>
      </c>
      <c r="AC372">
        <v>0.90900000000000003</v>
      </c>
      <c r="AD372">
        <v>8</v>
      </c>
      <c r="AE372">
        <v>2</v>
      </c>
      <c r="AF372">
        <v>2.5139999999999998</v>
      </c>
      <c r="AG372">
        <v>21105.24</v>
      </c>
      <c r="AH372" t="s">
        <v>454</v>
      </c>
      <c r="AI372" t="s">
        <v>1187</v>
      </c>
      <c r="AJ372" t="s">
        <v>1188</v>
      </c>
      <c r="AK372">
        <v>592277</v>
      </c>
      <c r="AL372">
        <v>0</v>
      </c>
      <c r="AM372">
        <v>0</v>
      </c>
      <c r="AN372">
        <v>0</v>
      </c>
      <c r="AO372">
        <v>0</v>
      </c>
      <c r="AP372">
        <v>9043988</v>
      </c>
      <c r="AQ372">
        <v>1693386</v>
      </c>
      <c r="AR372">
        <v>4537148</v>
      </c>
      <c r="AS372">
        <v>5519239</v>
      </c>
      <c r="AT372">
        <v>5560320</v>
      </c>
      <c r="AU372">
        <v>0</v>
      </c>
      <c r="AV372">
        <v>0</v>
      </c>
      <c r="AW372">
        <v>0</v>
      </c>
      <c r="AX372">
        <v>592276.625</v>
      </c>
      <c r="AY372">
        <v>0</v>
      </c>
      <c r="AZ372">
        <v>0</v>
      </c>
      <c r="BA372">
        <v>0</v>
      </c>
      <c r="BB372">
        <v>0</v>
      </c>
      <c r="BC372">
        <v>9043988.1875</v>
      </c>
      <c r="BD372">
        <v>1693386.3125</v>
      </c>
      <c r="BE372">
        <v>4537148.1875</v>
      </c>
      <c r="BF372">
        <v>5519238.625</v>
      </c>
      <c r="BG372">
        <v>5560319.6875</v>
      </c>
      <c r="BH372">
        <v>0</v>
      </c>
      <c r="BI372">
        <v>0</v>
      </c>
      <c r="BJ372">
        <v>0</v>
      </c>
      <c r="BK372">
        <v>0</v>
      </c>
      <c r="BL372">
        <v>0</v>
      </c>
      <c r="BM372">
        <v>0</v>
      </c>
      <c r="BN372">
        <v>0</v>
      </c>
      <c r="BO372">
        <v>0</v>
      </c>
      <c r="BP372">
        <v>0</v>
      </c>
      <c r="BQ372">
        <v>0</v>
      </c>
      <c r="BR372">
        <v>0</v>
      </c>
      <c r="BS372">
        <v>0</v>
      </c>
      <c r="BT372">
        <v>0</v>
      </c>
      <c r="BU372">
        <v>0</v>
      </c>
      <c r="BV372">
        <v>0</v>
      </c>
      <c r="BW372">
        <v>0</v>
      </c>
    </row>
    <row r="373" spans="1:75" x14ac:dyDescent="0.55000000000000004">
      <c r="A373">
        <v>978</v>
      </c>
      <c r="B373">
        <v>14.297000000000001</v>
      </c>
      <c r="C373">
        <v>824.58043999999995</v>
      </c>
      <c r="D373" t="s">
        <v>1189</v>
      </c>
      <c r="E373" t="s">
        <v>1</v>
      </c>
      <c r="F373" t="s">
        <v>2</v>
      </c>
      <c r="G373">
        <v>0.38</v>
      </c>
      <c r="H373" t="b">
        <v>1</v>
      </c>
      <c r="I373">
        <v>9.9</v>
      </c>
      <c r="J373">
        <v>824.58112000000006</v>
      </c>
      <c r="K373" t="s">
        <v>708</v>
      </c>
      <c r="L373" t="s">
        <v>329</v>
      </c>
      <c r="N373" t="s">
        <v>1190</v>
      </c>
      <c r="O373" t="s">
        <v>1202</v>
      </c>
      <c r="P373">
        <v>410</v>
      </c>
      <c r="Q373" t="b">
        <v>0</v>
      </c>
      <c r="R373" t="b">
        <v>1</v>
      </c>
      <c r="S373" t="b">
        <v>1</v>
      </c>
      <c r="T373" t="s">
        <v>7</v>
      </c>
      <c r="U373" t="b">
        <v>0</v>
      </c>
      <c r="V373" t="b">
        <v>0</v>
      </c>
      <c r="W373">
        <v>978</v>
      </c>
      <c r="X373">
        <v>0</v>
      </c>
      <c r="Y373">
        <v>0</v>
      </c>
      <c r="Z373">
        <v>0.99</v>
      </c>
      <c r="AA373">
        <v>0.72699999999999998</v>
      </c>
      <c r="AB373">
        <v>0.81399999999999995</v>
      </c>
      <c r="AC373">
        <v>0.92100000000000004</v>
      </c>
      <c r="AD373">
        <v>6</v>
      </c>
      <c r="AE373">
        <v>2</v>
      </c>
      <c r="AF373">
        <v>2.504</v>
      </c>
      <c r="AG373">
        <v>1733</v>
      </c>
      <c r="AH373" t="s">
        <v>927</v>
      </c>
      <c r="AI373" t="s">
        <v>1192</v>
      </c>
      <c r="AJ373" t="s">
        <v>1193</v>
      </c>
      <c r="AK373">
        <v>55694</v>
      </c>
      <c r="AL373">
        <v>0</v>
      </c>
      <c r="AM373">
        <v>0</v>
      </c>
      <c r="AN373">
        <v>0</v>
      </c>
      <c r="AO373">
        <v>0</v>
      </c>
      <c r="AP373">
        <v>594696</v>
      </c>
      <c r="AQ373">
        <v>590307</v>
      </c>
      <c r="AR373">
        <v>318605</v>
      </c>
      <c r="AS373">
        <v>366904</v>
      </c>
      <c r="AT373">
        <v>369671</v>
      </c>
      <c r="AU373">
        <v>0</v>
      </c>
      <c r="AV373">
        <v>0</v>
      </c>
      <c r="AW373">
        <v>0</v>
      </c>
      <c r="AX373">
        <v>55694.25</v>
      </c>
      <c r="AY373">
        <v>0</v>
      </c>
      <c r="AZ373">
        <v>0</v>
      </c>
      <c r="BA373">
        <v>0</v>
      </c>
      <c r="BB373">
        <v>0</v>
      </c>
      <c r="BC373">
        <v>594696.4375</v>
      </c>
      <c r="BD373">
        <v>590307.0625</v>
      </c>
      <c r="BE373">
        <v>318604.75</v>
      </c>
      <c r="BF373">
        <v>366904</v>
      </c>
      <c r="BG373">
        <v>369671.125</v>
      </c>
      <c r="BH373">
        <v>0</v>
      </c>
      <c r="BI373">
        <v>0</v>
      </c>
      <c r="BJ373">
        <v>0</v>
      </c>
      <c r="BK373">
        <v>0</v>
      </c>
      <c r="BL373">
        <v>0</v>
      </c>
      <c r="BM373">
        <v>0</v>
      </c>
      <c r="BN373">
        <v>0</v>
      </c>
      <c r="BO373">
        <v>0</v>
      </c>
      <c r="BP373">
        <v>0</v>
      </c>
      <c r="BQ373">
        <v>0</v>
      </c>
      <c r="BR373">
        <v>0</v>
      </c>
      <c r="BS373">
        <v>0</v>
      </c>
      <c r="BT373">
        <v>0</v>
      </c>
      <c r="BU373">
        <v>0</v>
      </c>
      <c r="BV373">
        <v>0</v>
      </c>
      <c r="BW373">
        <v>0</v>
      </c>
    </row>
    <row r="374" spans="1:75" x14ac:dyDescent="0.55000000000000004">
      <c r="A374">
        <v>982</v>
      </c>
      <c r="B374">
        <v>16.594000000000001</v>
      </c>
      <c r="C374">
        <v>824.66345000000001</v>
      </c>
      <c r="D374" t="s">
        <v>1194</v>
      </c>
      <c r="E374" t="s">
        <v>32</v>
      </c>
      <c r="F374" t="s">
        <v>2</v>
      </c>
      <c r="G374">
        <v>0.38</v>
      </c>
      <c r="H374" t="b">
        <v>1</v>
      </c>
      <c r="I374">
        <v>11.840999999999999</v>
      </c>
      <c r="J374">
        <v>824.66210999999998</v>
      </c>
      <c r="K374" t="s">
        <v>1195</v>
      </c>
      <c r="L374" t="s">
        <v>1097</v>
      </c>
      <c r="N374" t="s">
        <v>1196</v>
      </c>
      <c r="O374" t="s">
        <v>1202</v>
      </c>
      <c r="P374">
        <v>410</v>
      </c>
      <c r="Q374" t="b">
        <v>0</v>
      </c>
      <c r="R374" t="b">
        <v>1</v>
      </c>
      <c r="S374" t="b">
        <v>1</v>
      </c>
      <c r="T374" t="s">
        <v>7</v>
      </c>
      <c r="U374" t="b">
        <v>0</v>
      </c>
      <c r="V374" t="b">
        <v>0</v>
      </c>
      <c r="W374">
        <v>982</v>
      </c>
      <c r="X374">
        <v>0</v>
      </c>
      <c r="Y374">
        <v>0</v>
      </c>
      <c r="Z374">
        <v>0.97</v>
      </c>
      <c r="AA374">
        <v>0.33100000000000002</v>
      </c>
      <c r="AB374">
        <v>0.5</v>
      </c>
      <c r="AC374">
        <v>0.88500000000000001</v>
      </c>
      <c r="AD374">
        <v>5</v>
      </c>
      <c r="AE374">
        <v>2</v>
      </c>
      <c r="AF374">
        <v>2.3279999999999998</v>
      </c>
      <c r="AG374">
        <v>464.72</v>
      </c>
      <c r="AH374" t="s">
        <v>1011</v>
      </c>
      <c r="AI374" t="s">
        <v>1198</v>
      </c>
      <c r="AJ374" t="s">
        <v>1199</v>
      </c>
      <c r="AK374">
        <v>16238</v>
      </c>
      <c r="AL374">
        <v>0</v>
      </c>
      <c r="AM374">
        <v>0</v>
      </c>
      <c r="AN374">
        <v>0</v>
      </c>
      <c r="AO374">
        <v>0</v>
      </c>
      <c r="AP374">
        <v>162423</v>
      </c>
      <c r="AQ374">
        <v>154564</v>
      </c>
      <c r="AR374">
        <v>91835</v>
      </c>
      <c r="AS374">
        <v>103456</v>
      </c>
      <c r="AT374">
        <v>110923</v>
      </c>
      <c r="AU374">
        <v>0</v>
      </c>
      <c r="AV374">
        <v>0</v>
      </c>
      <c r="AW374">
        <v>0</v>
      </c>
      <c r="AX374">
        <v>16238.0625</v>
      </c>
      <c r="AY374">
        <v>0</v>
      </c>
      <c r="AZ374">
        <v>0</v>
      </c>
      <c r="BA374">
        <v>0</v>
      </c>
      <c r="BB374">
        <v>0</v>
      </c>
      <c r="BC374">
        <v>162423.4375</v>
      </c>
      <c r="BD374">
        <v>154564.25</v>
      </c>
      <c r="BE374">
        <v>91835.125</v>
      </c>
      <c r="BF374">
        <v>103456.375</v>
      </c>
      <c r="BG374">
        <v>110922.875</v>
      </c>
      <c r="BH374">
        <v>0</v>
      </c>
      <c r="BI374">
        <v>0</v>
      </c>
      <c r="BJ374">
        <v>0</v>
      </c>
      <c r="BK374">
        <v>0</v>
      </c>
      <c r="BL374">
        <v>0</v>
      </c>
      <c r="BM374">
        <v>0</v>
      </c>
      <c r="BN374">
        <v>0</v>
      </c>
      <c r="BO374">
        <v>0</v>
      </c>
      <c r="BP374">
        <v>0</v>
      </c>
      <c r="BQ374">
        <v>0</v>
      </c>
      <c r="BR374">
        <v>0</v>
      </c>
      <c r="BS374">
        <v>0</v>
      </c>
      <c r="BT374">
        <v>0</v>
      </c>
      <c r="BU374">
        <v>0</v>
      </c>
      <c r="BV374">
        <v>0</v>
      </c>
      <c r="BW374">
        <v>0</v>
      </c>
    </row>
    <row r="375" spans="1:75" x14ac:dyDescent="0.55000000000000004">
      <c r="A375">
        <v>990</v>
      </c>
      <c r="B375">
        <v>12.573</v>
      </c>
      <c r="C375">
        <v>826.55969000000005</v>
      </c>
      <c r="D375" t="s">
        <v>1200</v>
      </c>
      <c r="E375" t="s">
        <v>1</v>
      </c>
      <c r="F375" t="s">
        <v>2</v>
      </c>
      <c r="G375">
        <v>0.23</v>
      </c>
      <c r="H375" t="b">
        <v>1</v>
      </c>
      <c r="I375">
        <v>8.7780000000000005</v>
      </c>
      <c r="J375">
        <v>826.56042000000002</v>
      </c>
      <c r="K375" t="s">
        <v>724</v>
      </c>
      <c r="L375" t="s">
        <v>660</v>
      </c>
      <c r="N375" t="s">
        <v>1201</v>
      </c>
      <c r="O375" t="s">
        <v>1209</v>
      </c>
      <c r="P375">
        <v>410</v>
      </c>
      <c r="Q375" t="b">
        <v>0</v>
      </c>
      <c r="R375" t="b">
        <v>1</v>
      </c>
      <c r="S375" t="b">
        <v>1</v>
      </c>
      <c r="T375" t="s">
        <v>7</v>
      </c>
      <c r="U375" t="b">
        <v>0</v>
      </c>
      <c r="V375" t="b">
        <v>0</v>
      </c>
      <c r="W375">
        <v>990</v>
      </c>
      <c r="X375">
        <v>0</v>
      </c>
      <c r="Y375">
        <v>0</v>
      </c>
      <c r="Z375">
        <v>1</v>
      </c>
      <c r="AA375">
        <v>0.78900000000000003</v>
      </c>
      <c r="AB375">
        <v>0.83099999999999996</v>
      </c>
      <c r="AC375">
        <v>0.82099999999999995</v>
      </c>
      <c r="AD375">
        <v>6</v>
      </c>
      <c r="AE375">
        <v>2</v>
      </c>
      <c r="AF375">
        <v>2.4830000000000001</v>
      </c>
      <c r="AG375">
        <v>31666.05</v>
      </c>
      <c r="AH375" t="s">
        <v>454</v>
      </c>
      <c r="AI375" t="s">
        <v>1203</v>
      </c>
      <c r="AJ375" t="s">
        <v>1204</v>
      </c>
      <c r="AK375">
        <v>1553709</v>
      </c>
      <c r="AL375">
        <v>0</v>
      </c>
      <c r="AM375">
        <v>0</v>
      </c>
      <c r="AN375">
        <v>0</v>
      </c>
      <c r="AO375">
        <v>0</v>
      </c>
      <c r="AP375">
        <v>15908509</v>
      </c>
      <c r="AQ375">
        <v>3456774</v>
      </c>
      <c r="AR375">
        <v>9463021</v>
      </c>
      <c r="AS375">
        <v>11228252</v>
      </c>
      <c r="AT375">
        <v>11231850</v>
      </c>
      <c r="AU375">
        <v>0</v>
      </c>
      <c r="AV375">
        <v>0</v>
      </c>
      <c r="AW375">
        <v>0</v>
      </c>
      <c r="AX375">
        <v>1553709.125</v>
      </c>
      <c r="AY375">
        <v>0</v>
      </c>
      <c r="AZ375">
        <v>0</v>
      </c>
      <c r="BA375">
        <v>0</v>
      </c>
      <c r="BB375">
        <v>0</v>
      </c>
      <c r="BC375">
        <v>15908509.0625</v>
      </c>
      <c r="BD375">
        <v>3456773.6875</v>
      </c>
      <c r="BE375">
        <v>9463020.8125</v>
      </c>
      <c r="BF375">
        <v>11228251.5</v>
      </c>
      <c r="BG375">
        <v>11231850.4375</v>
      </c>
      <c r="BH375">
        <v>0</v>
      </c>
      <c r="BI375">
        <v>0</v>
      </c>
      <c r="BJ375">
        <v>0</v>
      </c>
      <c r="BK375">
        <v>0</v>
      </c>
      <c r="BL375">
        <v>0</v>
      </c>
      <c r="BM375">
        <v>0</v>
      </c>
      <c r="BN375">
        <v>0</v>
      </c>
      <c r="BO375">
        <v>0</v>
      </c>
      <c r="BP375">
        <v>0</v>
      </c>
      <c r="BQ375">
        <v>0</v>
      </c>
      <c r="BR375">
        <v>0</v>
      </c>
      <c r="BS375">
        <v>0</v>
      </c>
      <c r="BT375">
        <v>0</v>
      </c>
      <c r="BU375">
        <v>0</v>
      </c>
      <c r="BV375">
        <v>0</v>
      </c>
      <c r="BW375">
        <v>0</v>
      </c>
    </row>
    <row r="376" spans="1:75" x14ac:dyDescent="0.55000000000000004">
      <c r="A376">
        <v>991</v>
      </c>
      <c r="B376">
        <v>12.487</v>
      </c>
      <c r="C376">
        <v>826.55975000000001</v>
      </c>
      <c r="D376" t="s">
        <v>1200</v>
      </c>
      <c r="E376" t="s">
        <v>1</v>
      </c>
      <c r="F376" t="s">
        <v>2</v>
      </c>
      <c r="G376">
        <v>0.23</v>
      </c>
      <c r="H376" t="b">
        <v>1</v>
      </c>
      <c r="I376">
        <v>8.7780000000000005</v>
      </c>
      <c r="J376">
        <v>826.56042000000002</v>
      </c>
      <c r="K376" t="s">
        <v>724</v>
      </c>
      <c r="L376" t="s">
        <v>660</v>
      </c>
      <c r="N376" t="s">
        <v>1201</v>
      </c>
      <c r="O376" t="s">
        <v>1209</v>
      </c>
      <c r="P376">
        <v>410</v>
      </c>
      <c r="Q376" t="b">
        <v>0</v>
      </c>
      <c r="R376" t="b">
        <v>1</v>
      </c>
      <c r="S376" t="b">
        <v>1</v>
      </c>
      <c r="T376" t="s">
        <v>7</v>
      </c>
      <c r="U376" t="b">
        <v>0</v>
      </c>
      <c r="V376" t="b">
        <v>0</v>
      </c>
      <c r="W376">
        <v>991</v>
      </c>
      <c r="X376">
        <v>0</v>
      </c>
      <c r="Y376">
        <v>0</v>
      </c>
      <c r="Z376">
        <v>1</v>
      </c>
      <c r="AA376">
        <v>0.78</v>
      </c>
      <c r="AB376">
        <v>0.82799999999999996</v>
      </c>
      <c r="AC376">
        <v>0.84499999999999997</v>
      </c>
      <c r="AD376">
        <v>6</v>
      </c>
      <c r="AE376">
        <v>2</v>
      </c>
      <c r="AF376">
        <v>2.4910000000000001</v>
      </c>
      <c r="AG376">
        <v>41963.86</v>
      </c>
      <c r="AH376" t="s">
        <v>990</v>
      </c>
      <c r="AI376" t="s">
        <v>1205</v>
      </c>
      <c r="AJ376" t="s">
        <v>1206</v>
      </c>
      <c r="AK376">
        <v>289731</v>
      </c>
      <c r="AL376">
        <v>0</v>
      </c>
      <c r="AM376">
        <v>0</v>
      </c>
      <c r="AN376">
        <v>0</v>
      </c>
      <c r="AO376">
        <v>0</v>
      </c>
      <c r="AP376">
        <v>15908509</v>
      </c>
      <c r="AQ376">
        <v>16393735</v>
      </c>
      <c r="AR376">
        <v>9463021</v>
      </c>
      <c r="AS376">
        <v>11228252</v>
      </c>
      <c r="AT376">
        <v>11231850</v>
      </c>
      <c r="AU376">
        <v>0</v>
      </c>
      <c r="AV376">
        <v>0</v>
      </c>
      <c r="AW376">
        <v>0</v>
      </c>
      <c r="AX376">
        <v>289730.875</v>
      </c>
      <c r="AY376">
        <v>0</v>
      </c>
      <c r="AZ376">
        <v>0</v>
      </c>
      <c r="BA376">
        <v>0</v>
      </c>
      <c r="BB376">
        <v>0</v>
      </c>
      <c r="BC376">
        <v>15908509.0625</v>
      </c>
      <c r="BD376">
        <v>16393734.75</v>
      </c>
      <c r="BE376">
        <v>9463020.8125</v>
      </c>
      <c r="BF376">
        <v>11228251.5</v>
      </c>
      <c r="BG376">
        <v>11231850.4375</v>
      </c>
      <c r="BH376">
        <v>0</v>
      </c>
      <c r="BI376">
        <v>0</v>
      </c>
      <c r="BJ376">
        <v>0</v>
      </c>
      <c r="BK376">
        <v>0</v>
      </c>
      <c r="BL376">
        <v>0</v>
      </c>
      <c r="BM376">
        <v>0</v>
      </c>
      <c r="BN376">
        <v>0</v>
      </c>
      <c r="BO376">
        <v>0</v>
      </c>
      <c r="BP376">
        <v>0</v>
      </c>
      <c r="BQ376">
        <v>0</v>
      </c>
      <c r="BR376">
        <v>0</v>
      </c>
      <c r="BS376">
        <v>0</v>
      </c>
      <c r="BT376">
        <v>0</v>
      </c>
      <c r="BU376">
        <v>0</v>
      </c>
      <c r="BV376">
        <v>0</v>
      </c>
      <c r="BW376">
        <v>0</v>
      </c>
    </row>
    <row r="377" spans="1:75" x14ac:dyDescent="0.55000000000000004">
      <c r="A377">
        <v>992</v>
      </c>
      <c r="B377">
        <v>13.036</v>
      </c>
      <c r="C377">
        <v>826.55993999999998</v>
      </c>
      <c r="D377" t="s">
        <v>1207</v>
      </c>
      <c r="E377" t="s">
        <v>1</v>
      </c>
      <c r="F377" t="s">
        <v>2</v>
      </c>
      <c r="G377">
        <v>0.38</v>
      </c>
      <c r="H377" t="b">
        <v>1</v>
      </c>
      <c r="I377">
        <v>9.3390000000000004</v>
      </c>
      <c r="J377">
        <v>826.56042000000002</v>
      </c>
      <c r="K377" t="s">
        <v>724</v>
      </c>
      <c r="L377" t="s">
        <v>660</v>
      </c>
      <c r="N377" t="s">
        <v>1208</v>
      </c>
      <c r="O377" t="s">
        <v>1216</v>
      </c>
      <c r="P377">
        <v>410</v>
      </c>
      <c r="Q377" t="b">
        <v>0</v>
      </c>
      <c r="R377" t="b">
        <v>1</v>
      </c>
      <c r="S377" t="b">
        <v>1</v>
      </c>
      <c r="T377" t="s">
        <v>7</v>
      </c>
      <c r="U377" t="b">
        <v>0</v>
      </c>
      <c r="V377" t="b">
        <v>0</v>
      </c>
      <c r="W377">
        <v>992</v>
      </c>
      <c r="X377">
        <v>0</v>
      </c>
      <c r="Y377">
        <v>0</v>
      </c>
      <c r="Z377">
        <v>1</v>
      </c>
      <c r="AA377">
        <v>0.64800000000000002</v>
      </c>
      <c r="AB377">
        <v>0.76400000000000001</v>
      </c>
      <c r="AC377">
        <v>0.86399999999999999</v>
      </c>
      <c r="AD377">
        <v>6</v>
      </c>
      <c r="AE377">
        <v>2</v>
      </c>
      <c r="AF377">
        <v>2.4580000000000002</v>
      </c>
      <c r="AG377">
        <v>1884.86</v>
      </c>
      <c r="AH377" t="s">
        <v>454</v>
      </c>
      <c r="AI377" t="s">
        <v>1210</v>
      </c>
      <c r="AJ377" t="s">
        <v>1211</v>
      </c>
      <c r="AK377">
        <v>208422</v>
      </c>
      <c r="AL377">
        <v>0</v>
      </c>
      <c r="AM377">
        <v>0</v>
      </c>
      <c r="AN377">
        <v>0</v>
      </c>
      <c r="AO377">
        <v>0</v>
      </c>
      <c r="AP377">
        <v>1077743</v>
      </c>
      <c r="AQ377">
        <v>1084457</v>
      </c>
      <c r="AR377">
        <v>1280401</v>
      </c>
      <c r="AS377">
        <v>1423127</v>
      </c>
      <c r="AT377">
        <v>616954</v>
      </c>
      <c r="AU377">
        <v>0</v>
      </c>
      <c r="AV377">
        <v>0</v>
      </c>
      <c r="AW377">
        <v>0</v>
      </c>
      <c r="AX377">
        <v>208421.6875</v>
      </c>
      <c r="AY377">
        <v>0</v>
      </c>
      <c r="AZ377">
        <v>0</v>
      </c>
      <c r="BA377">
        <v>0</v>
      </c>
      <c r="BB377">
        <v>0</v>
      </c>
      <c r="BC377">
        <v>1077742.875</v>
      </c>
      <c r="BD377">
        <v>1084456.5625</v>
      </c>
      <c r="BE377">
        <v>1280400.625</v>
      </c>
      <c r="BF377">
        <v>1423127.1875</v>
      </c>
      <c r="BG377">
        <v>616953.9375</v>
      </c>
      <c r="BH377">
        <v>0</v>
      </c>
      <c r="BI377">
        <v>0</v>
      </c>
      <c r="BJ377">
        <v>0</v>
      </c>
      <c r="BK377">
        <v>0</v>
      </c>
      <c r="BL377">
        <v>0</v>
      </c>
      <c r="BM377">
        <v>0</v>
      </c>
      <c r="BN377">
        <v>0</v>
      </c>
      <c r="BO377">
        <v>0</v>
      </c>
      <c r="BP377">
        <v>0</v>
      </c>
      <c r="BQ377">
        <v>0</v>
      </c>
      <c r="BR377">
        <v>0</v>
      </c>
      <c r="BS377">
        <v>0</v>
      </c>
      <c r="BT377">
        <v>0</v>
      </c>
      <c r="BU377">
        <v>0</v>
      </c>
      <c r="BV377">
        <v>0</v>
      </c>
      <c r="BW377">
        <v>0</v>
      </c>
    </row>
    <row r="378" spans="1:75" x14ac:dyDescent="0.55000000000000004">
      <c r="A378">
        <v>993</v>
      </c>
      <c r="B378">
        <v>13.404</v>
      </c>
      <c r="C378">
        <v>826.56006000000002</v>
      </c>
      <c r="D378" t="s">
        <v>1207</v>
      </c>
      <c r="E378" t="s">
        <v>1</v>
      </c>
      <c r="F378" t="s">
        <v>2</v>
      </c>
      <c r="G378">
        <v>0.23</v>
      </c>
      <c r="H378" t="b">
        <v>1</v>
      </c>
      <c r="I378">
        <v>9.3390000000000004</v>
      </c>
      <c r="J378">
        <v>826.56042000000002</v>
      </c>
      <c r="K378" t="s">
        <v>724</v>
      </c>
      <c r="L378" t="s">
        <v>660</v>
      </c>
      <c r="N378" t="s">
        <v>1208</v>
      </c>
      <c r="O378" t="s">
        <v>1209</v>
      </c>
      <c r="P378">
        <v>410</v>
      </c>
      <c r="Q378" t="b">
        <v>0</v>
      </c>
      <c r="R378" t="b">
        <v>1</v>
      </c>
      <c r="S378" t="b">
        <v>1</v>
      </c>
      <c r="T378" t="s">
        <v>7</v>
      </c>
      <c r="U378" t="b">
        <v>0</v>
      </c>
      <c r="V378" t="b">
        <v>0</v>
      </c>
      <c r="W378">
        <v>993</v>
      </c>
      <c r="X378">
        <v>0</v>
      </c>
      <c r="Y378">
        <v>0</v>
      </c>
      <c r="Z378">
        <v>1</v>
      </c>
      <c r="AA378">
        <v>0.39700000000000002</v>
      </c>
      <c r="AB378">
        <v>0.55100000000000005</v>
      </c>
      <c r="AC378">
        <v>0.89900000000000002</v>
      </c>
      <c r="AD378">
        <v>4</v>
      </c>
      <c r="AE378">
        <v>2</v>
      </c>
      <c r="AF378">
        <v>2.3740000000000001</v>
      </c>
      <c r="AG378">
        <v>207313</v>
      </c>
      <c r="AH378" t="s">
        <v>454</v>
      </c>
      <c r="AI378" t="s">
        <v>1212</v>
      </c>
      <c r="AJ378" t="s">
        <v>1213</v>
      </c>
      <c r="AK378">
        <v>16316015</v>
      </c>
      <c r="AL378">
        <v>0</v>
      </c>
      <c r="AM378">
        <v>0</v>
      </c>
      <c r="AN378">
        <v>0</v>
      </c>
      <c r="AO378">
        <v>0</v>
      </c>
      <c r="AP378">
        <v>92708682</v>
      </c>
      <c r="AQ378">
        <v>13880391</v>
      </c>
      <c r="AR378">
        <v>59000532</v>
      </c>
      <c r="AS378">
        <v>65162626</v>
      </c>
      <c r="AT378">
        <v>66236177</v>
      </c>
      <c r="AU378">
        <v>0</v>
      </c>
      <c r="AV378">
        <v>0</v>
      </c>
      <c r="AW378">
        <v>0</v>
      </c>
      <c r="AX378">
        <v>16316015.4375</v>
      </c>
      <c r="AY378">
        <v>0</v>
      </c>
      <c r="AZ378">
        <v>0</v>
      </c>
      <c r="BA378">
        <v>0</v>
      </c>
      <c r="BB378">
        <v>0</v>
      </c>
      <c r="BC378">
        <v>92708681.75</v>
      </c>
      <c r="BD378">
        <v>13880391.125</v>
      </c>
      <c r="BE378">
        <v>59000532</v>
      </c>
      <c r="BF378">
        <v>65162625.5</v>
      </c>
      <c r="BG378">
        <v>66236177</v>
      </c>
      <c r="BH378">
        <v>0</v>
      </c>
      <c r="BI378">
        <v>0</v>
      </c>
      <c r="BJ378">
        <v>0</v>
      </c>
      <c r="BK378">
        <v>0</v>
      </c>
      <c r="BL378">
        <v>0</v>
      </c>
      <c r="BM378">
        <v>0</v>
      </c>
      <c r="BN378">
        <v>0</v>
      </c>
      <c r="BO378">
        <v>0</v>
      </c>
      <c r="BP378">
        <v>0</v>
      </c>
      <c r="BQ378">
        <v>0</v>
      </c>
      <c r="BR378">
        <v>0</v>
      </c>
      <c r="BS378">
        <v>0</v>
      </c>
      <c r="BT378">
        <v>0</v>
      </c>
      <c r="BU378">
        <v>0</v>
      </c>
      <c r="BV378">
        <v>0</v>
      </c>
      <c r="BW378">
        <v>0</v>
      </c>
    </row>
    <row r="379" spans="1:75" x14ac:dyDescent="0.55000000000000004">
      <c r="A379">
        <v>994</v>
      </c>
      <c r="B379">
        <v>12.939</v>
      </c>
      <c r="C379">
        <v>826.56017999999995</v>
      </c>
      <c r="D379" t="s">
        <v>1214</v>
      </c>
      <c r="E379" t="s">
        <v>1</v>
      </c>
      <c r="F379" t="s">
        <v>2</v>
      </c>
      <c r="G379">
        <v>0.23</v>
      </c>
      <c r="H379" t="b">
        <v>1</v>
      </c>
      <c r="I379">
        <v>8.8979999999999997</v>
      </c>
      <c r="J379">
        <v>826.56042000000002</v>
      </c>
      <c r="K379" t="s">
        <v>724</v>
      </c>
      <c r="L379" t="s">
        <v>660</v>
      </c>
      <c r="N379" t="s">
        <v>1215</v>
      </c>
      <c r="O379" t="s">
        <v>1202</v>
      </c>
      <c r="P379">
        <v>410</v>
      </c>
      <c r="Q379" t="b">
        <v>0</v>
      </c>
      <c r="R379" t="b">
        <v>1</v>
      </c>
      <c r="S379" t="b">
        <v>1</v>
      </c>
      <c r="T379" t="s">
        <v>7</v>
      </c>
      <c r="U379" t="b">
        <v>0</v>
      </c>
      <c r="V379" t="b">
        <v>0</v>
      </c>
      <c r="W379">
        <v>994</v>
      </c>
      <c r="X379">
        <v>0</v>
      </c>
      <c r="Y379">
        <v>0</v>
      </c>
      <c r="Z379">
        <v>1</v>
      </c>
      <c r="AA379">
        <v>0.214</v>
      </c>
      <c r="AB379">
        <v>0.34399999999999997</v>
      </c>
      <c r="AC379">
        <v>0.879</v>
      </c>
      <c r="AD379">
        <v>3</v>
      </c>
      <c r="AE379">
        <v>2</v>
      </c>
      <c r="AF379">
        <v>2.2810000000000001</v>
      </c>
      <c r="AG379">
        <v>3960.36</v>
      </c>
      <c r="AH379" t="s">
        <v>960</v>
      </c>
      <c r="AI379" t="s">
        <v>1217</v>
      </c>
      <c r="AJ379" t="s">
        <v>1218</v>
      </c>
      <c r="AK379">
        <v>208422</v>
      </c>
      <c r="AL379">
        <v>0</v>
      </c>
      <c r="AM379">
        <v>0</v>
      </c>
      <c r="AN379">
        <v>0</v>
      </c>
      <c r="AO379">
        <v>0</v>
      </c>
      <c r="AP379">
        <v>2257053</v>
      </c>
      <c r="AQ379">
        <v>2462616</v>
      </c>
      <c r="AR379">
        <v>1280401</v>
      </c>
      <c r="AS379">
        <v>1423127</v>
      </c>
      <c r="AT379">
        <v>1507400</v>
      </c>
      <c r="AU379">
        <v>0</v>
      </c>
      <c r="AV379">
        <v>0</v>
      </c>
      <c r="AW379">
        <v>0</v>
      </c>
      <c r="AX379">
        <v>208421.6875</v>
      </c>
      <c r="AY379">
        <v>0</v>
      </c>
      <c r="AZ379">
        <v>0</v>
      </c>
      <c r="BA379">
        <v>0</v>
      </c>
      <c r="BB379">
        <v>0</v>
      </c>
      <c r="BC379">
        <v>2257053.4375</v>
      </c>
      <c r="BD379">
        <v>2462616</v>
      </c>
      <c r="BE379">
        <v>1280400.625</v>
      </c>
      <c r="BF379">
        <v>1423127.1875</v>
      </c>
      <c r="BG379">
        <v>1507399.9375</v>
      </c>
      <c r="BH379">
        <v>0</v>
      </c>
      <c r="BI379">
        <v>0</v>
      </c>
      <c r="BJ379">
        <v>0</v>
      </c>
      <c r="BK379">
        <v>0</v>
      </c>
      <c r="BL379">
        <v>0</v>
      </c>
      <c r="BM379">
        <v>0</v>
      </c>
      <c r="BN379">
        <v>0</v>
      </c>
      <c r="BO379">
        <v>0</v>
      </c>
      <c r="BP379">
        <v>0</v>
      </c>
      <c r="BQ379">
        <v>0</v>
      </c>
      <c r="BR379">
        <v>0</v>
      </c>
      <c r="BS379">
        <v>0</v>
      </c>
      <c r="BT379">
        <v>0</v>
      </c>
      <c r="BU379">
        <v>0</v>
      </c>
      <c r="BV379">
        <v>0</v>
      </c>
      <c r="BW379">
        <v>0</v>
      </c>
    </row>
    <row r="380" spans="1:75" x14ac:dyDescent="0.55000000000000004">
      <c r="A380">
        <v>997</v>
      </c>
      <c r="B380">
        <v>13.678000000000001</v>
      </c>
      <c r="C380">
        <v>826.56024000000002</v>
      </c>
      <c r="D380" t="s">
        <v>1207</v>
      </c>
      <c r="E380" t="s">
        <v>1</v>
      </c>
      <c r="F380" t="s">
        <v>2</v>
      </c>
      <c r="G380">
        <v>0.15</v>
      </c>
      <c r="H380" t="b">
        <v>1</v>
      </c>
      <c r="I380">
        <v>9.3390000000000004</v>
      </c>
      <c r="J380">
        <v>826.56042000000002</v>
      </c>
      <c r="K380" t="s">
        <v>724</v>
      </c>
      <c r="L380" t="s">
        <v>660</v>
      </c>
      <c r="N380" t="s">
        <v>1208</v>
      </c>
      <c r="O380" t="s">
        <v>1225</v>
      </c>
      <c r="P380">
        <v>410</v>
      </c>
      <c r="Q380" t="b">
        <v>0</v>
      </c>
      <c r="R380" t="b">
        <v>1</v>
      </c>
      <c r="S380" t="b">
        <v>1</v>
      </c>
      <c r="T380" t="s">
        <v>7</v>
      </c>
      <c r="U380" t="b">
        <v>0</v>
      </c>
      <c r="V380" t="b">
        <v>0</v>
      </c>
      <c r="W380">
        <v>997</v>
      </c>
      <c r="X380">
        <v>0</v>
      </c>
      <c r="Y380">
        <v>0</v>
      </c>
      <c r="Z380">
        <v>1</v>
      </c>
      <c r="AA380">
        <v>0.33100000000000002</v>
      </c>
      <c r="AB380">
        <v>0.502</v>
      </c>
      <c r="AC380">
        <v>0.878</v>
      </c>
      <c r="AD380">
        <v>4</v>
      </c>
      <c r="AE380">
        <v>2</v>
      </c>
      <c r="AF380">
        <v>2.3410000000000002</v>
      </c>
      <c r="AG380">
        <v>382.34</v>
      </c>
      <c r="AH380" t="s">
        <v>944</v>
      </c>
      <c r="AI380" t="s">
        <v>1219</v>
      </c>
      <c r="AJ380" t="s">
        <v>1220</v>
      </c>
      <c r="AK380">
        <v>207482</v>
      </c>
      <c r="AL380">
        <v>0</v>
      </c>
      <c r="AM380">
        <v>0</v>
      </c>
      <c r="AN380">
        <v>0</v>
      </c>
      <c r="AO380">
        <v>0</v>
      </c>
      <c r="AP380">
        <v>446749</v>
      </c>
      <c r="AQ380">
        <v>441646</v>
      </c>
      <c r="AR380">
        <v>315645</v>
      </c>
      <c r="AS380">
        <v>309286</v>
      </c>
      <c r="AT380">
        <v>302020</v>
      </c>
      <c r="AU380">
        <v>0</v>
      </c>
      <c r="AV380">
        <v>0</v>
      </c>
      <c r="AW380">
        <v>0</v>
      </c>
      <c r="AX380">
        <v>207482.0625</v>
      </c>
      <c r="AY380">
        <v>0</v>
      </c>
      <c r="AZ380">
        <v>0</v>
      </c>
      <c r="BA380">
        <v>0</v>
      </c>
      <c r="BB380">
        <v>0</v>
      </c>
      <c r="BC380">
        <v>446748.8125</v>
      </c>
      <c r="BD380">
        <v>441645.5</v>
      </c>
      <c r="BE380">
        <v>315645.1875</v>
      </c>
      <c r="BF380">
        <v>309285.625</v>
      </c>
      <c r="BG380">
        <v>302020.125</v>
      </c>
      <c r="BH380">
        <v>0</v>
      </c>
      <c r="BI380">
        <v>0</v>
      </c>
      <c r="BJ380">
        <v>0</v>
      </c>
      <c r="BK380">
        <v>0</v>
      </c>
      <c r="BL380">
        <v>0</v>
      </c>
      <c r="BM380">
        <v>0</v>
      </c>
      <c r="BN380">
        <v>0</v>
      </c>
      <c r="BO380">
        <v>0</v>
      </c>
      <c r="BP380">
        <v>0</v>
      </c>
      <c r="BQ380">
        <v>0</v>
      </c>
      <c r="BR380">
        <v>0</v>
      </c>
      <c r="BS380">
        <v>0</v>
      </c>
      <c r="BT380">
        <v>0</v>
      </c>
      <c r="BU380">
        <v>0</v>
      </c>
      <c r="BV380">
        <v>0</v>
      </c>
      <c r="BW380">
        <v>0</v>
      </c>
    </row>
    <row r="381" spans="1:75" x14ac:dyDescent="0.55000000000000004">
      <c r="A381">
        <v>998</v>
      </c>
      <c r="B381">
        <v>13.316000000000001</v>
      </c>
      <c r="C381">
        <v>826.56091000000004</v>
      </c>
      <c r="D381" t="s">
        <v>1200</v>
      </c>
      <c r="E381" t="s">
        <v>1</v>
      </c>
      <c r="F381" t="s">
        <v>2</v>
      </c>
      <c r="G381">
        <v>0.23</v>
      </c>
      <c r="H381" t="b">
        <v>1</v>
      </c>
      <c r="I381">
        <v>8.7780000000000005</v>
      </c>
      <c r="J381">
        <v>826.56042000000002</v>
      </c>
      <c r="K381" t="s">
        <v>724</v>
      </c>
      <c r="L381" t="s">
        <v>660</v>
      </c>
      <c r="N381" t="s">
        <v>1201</v>
      </c>
      <c r="O381" t="s">
        <v>1230</v>
      </c>
      <c r="P381">
        <v>410</v>
      </c>
      <c r="Q381" t="b">
        <v>0</v>
      </c>
      <c r="R381" t="b">
        <v>1</v>
      </c>
      <c r="S381" t="b">
        <v>1</v>
      </c>
      <c r="T381" t="s">
        <v>7</v>
      </c>
      <c r="U381" t="b">
        <v>0</v>
      </c>
      <c r="V381" t="b">
        <v>0</v>
      </c>
      <c r="W381">
        <v>998</v>
      </c>
      <c r="X381">
        <v>0</v>
      </c>
      <c r="Y381">
        <v>0</v>
      </c>
      <c r="Z381">
        <v>1</v>
      </c>
      <c r="AA381">
        <v>0.2</v>
      </c>
      <c r="AB381">
        <v>0.35299999999999998</v>
      </c>
      <c r="AC381">
        <v>0.873</v>
      </c>
      <c r="AD381">
        <v>2</v>
      </c>
      <c r="AE381">
        <v>2</v>
      </c>
      <c r="AF381">
        <v>2.2770000000000001</v>
      </c>
      <c r="AG381">
        <v>242797.5</v>
      </c>
      <c r="AH381" t="s">
        <v>960</v>
      </c>
      <c r="AI381" t="s">
        <v>1221</v>
      </c>
      <c r="AJ381" t="s">
        <v>1222</v>
      </c>
      <c r="AK381">
        <v>2299890</v>
      </c>
      <c r="AL381">
        <v>0</v>
      </c>
      <c r="AM381">
        <v>0</v>
      </c>
      <c r="AN381">
        <v>0</v>
      </c>
      <c r="AO381">
        <v>0</v>
      </c>
      <c r="AP381">
        <v>92708682</v>
      </c>
      <c r="AQ381">
        <v>92486184</v>
      </c>
      <c r="AR381">
        <v>59000532</v>
      </c>
      <c r="AS381">
        <v>65162626</v>
      </c>
      <c r="AT381">
        <v>66236177</v>
      </c>
      <c r="AU381">
        <v>0</v>
      </c>
      <c r="AV381">
        <v>0</v>
      </c>
      <c r="AW381">
        <v>0</v>
      </c>
      <c r="AX381">
        <v>2299890.1875</v>
      </c>
      <c r="AY381">
        <v>0</v>
      </c>
      <c r="AZ381">
        <v>0</v>
      </c>
      <c r="BA381">
        <v>0</v>
      </c>
      <c r="BB381">
        <v>0</v>
      </c>
      <c r="BC381">
        <v>92708681.75</v>
      </c>
      <c r="BD381">
        <v>92486184.5</v>
      </c>
      <c r="BE381">
        <v>59000532</v>
      </c>
      <c r="BF381">
        <v>65162625.5</v>
      </c>
      <c r="BG381">
        <v>66236177</v>
      </c>
      <c r="BH381">
        <v>0</v>
      </c>
      <c r="BI381">
        <v>0</v>
      </c>
      <c r="BJ381">
        <v>0</v>
      </c>
      <c r="BK381">
        <v>0</v>
      </c>
      <c r="BL381">
        <v>0</v>
      </c>
      <c r="BM381">
        <v>0</v>
      </c>
      <c r="BN381">
        <v>0</v>
      </c>
      <c r="BO381">
        <v>0</v>
      </c>
      <c r="BP381">
        <v>0</v>
      </c>
      <c r="BQ381">
        <v>0</v>
      </c>
      <c r="BR381">
        <v>0</v>
      </c>
      <c r="BS381">
        <v>0</v>
      </c>
      <c r="BT381">
        <v>0</v>
      </c>
      <c r="BU381">
        <v>0</v>
      </c>
      <c r="BV381">
        <v>0</v>
      </c>
      <c r="BW381">
        <v>0</v>
      </c>
    </row>
    <row r="382" spans="1:75" x14ac:dyDescent="0.55000000000000004">
      <c r="A382">
        <v>1001</v>
      </c>
      <c r="B382">
        <v>14.7</v>
      </c>
      <c r="C382">
        <v>826.59582999999998</v>
      </c>
      <c r="D382" t="s">
        <v>1223</v>
      </c>
      <c r="E382" t="s">
        <v>1</v>
      </c>
      <c r="F382" t="s">
        <v>2</v>
      </c>
      <c r="G382">
        <v>0.23</v>
      </c>
      <c r="H382" t="b">
        <v>1</v>
      </c>
      <c r="I382">
        <v>10.3</v>
      </c>
      <c r="J382">
        <v>826.59667999999999</v>
      </c>
      <c r="K382" t="s">
        <v>734</v>
      </c>
      <c r="L382" t="s">
        <v>329</v>
      </c>
      <c r="N382" t="s">
        <v>1224</v>
      </c>
      <c r="O382" t="s">
        <v>1230</v>
      </c>
      <c r="P382">
        <v>410</v>
      </c>
      <c r="Q382" t="b">
        <v>0</v>
      </c>
      <c r="R382" t="b">
        <v>1</v>
      </c>
      <c r="S382" t="b">
        <v>1</v>
      </c>
      <c r="T382" t="s">
        <v>7</v>
      </c>
      <c r="U382" t="b">
        <v>0</v>
      </c>
      <c r="V382" t="b">
        <v>0</v>
      </c>
      <c r="W382">
        <v>1001</v>
      </c>
      <c r="X382">
        <v>0</v>
      </c>
      <c r="Y382">
        <v>0</v>
      </c>
      <c r="Z382">
        <v>0.99</v>
      </c>
      <c r="AA382">
        <v>0.69799999999999995</v>
      </c>
      <c r="AB382">
        <v>0.81</v>
      </c>
      <c r="AC382">
        <v>0.94</v>
      </c>
      <c r="AD382">
        <v>5</v>
      </c>
      <c r="AE382">
        <v>2</v>
      </c>
      <c r="AF382">
        <v>2.5089999999999999</v>
      </c>
      <c r="AG382">
        <v>595.95000000000005</v>
      </c>
      <c r="AH382" t="s">
        <v>990</v>
      </c>
      <c r="AI382" t="s">
        <v>1226</v>
      </c>
      <c r="AJ382" t="s">
        <v>1227</v>
      </c>
      <c r="AK382">
        <v>8239</v>
      </c>
      <c r="AL382">
        <v>0</v>
      </c>
      <c r="AM382">
        <v>0</v>
      </c>
      <c r="AN382">
        <v>0</v>
      </c>
      <c r="AO382">
        <v>0</v>
      </c>
      <c r="AP382">
        <v>354807</v>
      </c>
      <c r="AQ382">
        <v>379929</v>
      </c>
      <c r="AR382">
        <v>222756</v>
      </c>
      <c r="AS382">
        <v>240709</v>
      </c>
      <c r="AT382">
        <v>245190</v>
      </c>
      <c r="AU382">
        <v>0</v>
      </c>
      <c r="AV382">
        <v>0</v>
      </c>
      <c r="AW382">
        <v>0</v>
      </c>
      <c r="AX382">
        <v>8238.5625</v>
      </c>
      <c r="AY382">
        <v>0</v>
      </c>
      <c r="AZ382">
        <v>0</v>
      </c>
      <c r="BA382">
        <v>0</v>
      </c>
      <c r="BB382">
        <v>0</v>
      </c>
      <c r="BC382">
        <v>354806.9375</v>
      </c>
      <c r="BD382">
        <v>379929.1875</v>
      </c>
      <c r="BE382">
        <v>222755.625</v>
      </c>
      <c r="BF382">
        <v>240708.6875</v>
      </c>
      <c r="BG382">
        <v>245189.875</v>
      </c>
      <c r="BH382">
        <v>0</v>
      </c>
      <c r="BI382">
        <v>0</v>
      </c>
      <c r="BJ382">
        <v>0</v>
      </c>
      <c r="BK382">
        <v>0</v>
      </c>
      <c r="BL382">
        <v>0</v>
      </c>
      <c r="BM382">
        <v>0</v>
      </c>
      <c r="BN382">
        <v>0</v>
      </c>
      <c r="BO382">
        <v>0</v>
      </c>
      <c r="BP382">
        <v>0</v>
      </c>
      <c r="BQ382">
        <v>0</v>
      </c>
      <c r="BR382">
        <v>0</v>
      </c>
      <c r="BS382">
        <v>0</v>
      </c>
      <c r="BT382">
        <v>0</v>
      </c>
      <c r="BU382">
        <v>0</v>
      </c>
      <c r="BV382">
        <v>0</v>
      </c>
      <c r="BW382">
        <v>0</v>
      </c>
    </row>
    <row r="383" spans="1:75" x14ac:dyDescent="0.55000000000000004">
      <c r="A383">
        <v>1017</v>
      </c>
      <c r="B383">
        <v>13.644</v>
      </c>
      <c r="C383">
        <v>828.57416000000001</v>
      </c>
      <c r="D383" t="s">
        <v>1228</v>
      </c>
      <c r="E383" t="s">
        <v>1</v>
      </c>
      <c r="F383" t="s">
        <v>2</v>
      </c>
      <c r="G383">
        <v>0.23</v>
      </c>
      <c r="H383" t="b">
        <v>1</v>
      </c>
      <c r="I383">
        <v>9.2609999999999992</v>
      </c>
      <c r="J383">
        <v>828.57599000000005</v>
      </c>
      <c r="K383" t="s">
        <v>746</v>
      </c>
      <c r="L383" t="s">
        <v>660</v>
      </c>
      <c r="N383" t="s">
        <v>1229</v>
      </c>
      <c r="O383" t="s">
        <v>1237</v>
      </c>
      <c r="P383">
        <v>410</v>
      </c>
      <c r="Q383" t="b">
        <v>0</v>
      </c>
      <c r="R383" t="b">
        <v>1</v>
      </c>
      <c r="S383" t="b">
        <v>1</v>
      </c>
      <c r="T383" t="s">
        <v>7</v>
      </c>
      <c r="U383" t="b">
        <v>0</v>
      </c>
      <c r="V383" t="b">
        <v>0</v>
      </c>
      <c r="W383">
        <v>1017</v>
      </c>
      <c r="X383">
        <v>0</v>
      </c>
      <c r="Y383">
        <v>0</v>
      </c>
      <c r="Z383">
        <v>0.99</v>
      </c>
      <c r="AA383">
        <v>0.77600000000000002</v>
      </c>
      <c r="AB383">
        <v>0.81899999999999995</v>
      </c>
      <c r="AC383">
        <v>0.90400000000000003</v>
      </c>
      <c r="AD383">
        <v>9</v>
      </c>
      <c r="AE383">
        <v>2</v>
      </c>
      <c r="AF383">
        <v>2.5089999999999999</v>
      </c>
      <c r="AG383">
        <v>42818.47</v>
      </c>
      <c r="AH383" t="s">
        <v>944</v>
      </c>
      <c r="AI383" t="s">
        <v>1231</v>
      </c>
      <c r="AJ383" t="s">
        <v>1232</v>
      </c>
      <c r="AK383">
        <v>4687091</v>
      </c>
      <c r="AL383">
        <v>0</v>
      </c>
      <c r="AM383">
        <v>0</v>
      </c>
      <c r="AN383">
        <v>0</v>
      </c>
      <c r="AO383">
        <v>0</v>
      </c>
      <c r="AP383">
        <v>27155695</v>
      </c>
      <c r="AQ383">
        <v>27754264</v>
      </c>
      <c r="AR383">
        <v>16509160</v>
      </c>
      <c r="AS383">
        <v>18883478</v>
      </c>
      <c r="AT383">
        <v>19286255</v>
      </c>
      <c r="AU383">
        <v>0</v>
      </c>
      <c r="AV383">
        <v>0</v>
      </c>
      <c r="AW383">
        <v>0</v>
      </c>
      <c r="AX383">
        <v>4687091.125</v>
      </c>
      <c r="AY383">
        <v>0</v>
      </c>
      <c r="AZ383">
        <v>0</v>
      </c>
      <c r="BA383">
        <v>0</v>
      </c>
      <c r="BB383">
        <v>0</v>
      </c>
      <c r="BC383">
        <v>27155694.875</v>
      </c>
      <c r="BD383">
        <v>27754263.875</v>
      </c>
      <c r="BE383">
        <v>16509160.1875</v>
      </c>
      <c r="BF383">
        <v>18883477.5</v>
      </c>
      <c r="BG383">
        <v>19286255.3125</v>
      </c>
      <c r="BH383">
        <v>0</v>
      </c>
      <c r="BI383">
        <v>0</v>
      </c>
      <c r="BJ383">
        <v>0</v>
      </c>
      <c r="BK383">
        <v>0</v>
      </c>
      <c r="BL383">
        <v>0</v>
      </c>
      <c r="BM383">
        <v>0</v>
      </c>
      <c r="BN383">
        <v>0</v>
      </c>
      <c r="BO383">
        <v>0</v>
      </c>
      <c r="BP383">
        <v>0</v>
      </c>
      <c r="BQ383">
        <v>0</v>
      </c>
      <c r="BR383">
        <v>0</v>
      </c>
      <c r="BS383">
        <v>0</v>
      </c>
      <c r="BT383">
        <v>0</v>
      </c>
      <c r="BU383">
        <v>0</v>
      </c>
      <c r="BV383">
        <v>0</v>
      </c>
      <c r="BW383">
        <v>0</v>
      </c>
    </row>
    <row r="384" spans="1:75" x14ac:dyDescent="0.55000000000000004">
      <c r="A384">
        <v>1018</v>
      </c>
      <c r="B384">
        <v>13.723000000000001</v>
      </c>
      <c r="C384">
        <v>828.57416000000001</v>
      </c>
      <c r="D384" t="s">
        <v>1228</v>
      </c>
      <c r="E384" t="s">
        <v>1</v>
      </c>
      <c r="F384" t="s">
        <v>2</v>
      </c>
      <c r="G384">
        <v>0.23</v>
      </c>
      <c r="H384" t="b">
        <v>1</v>
      </c>
      <c r="I384">
        <v>9.2609999999999992</v>
      </c>
      <c r="J384">
        <v>828.57599000000005</v>
      </c>
      <c r="K384" t="s">
        <v>746</v>
      </c>
      <c r="L384" t="s">
        <v>660</v>
      </c>
      <c r="N384" t="s">
        <v>1229</v>
      </c>
      <c r="O384" t="s">
        <v>1237</v>
      </c>
      <c r="P384">
        <v>410</v>
      </c>
      <c r="Q384" t="b">
        <v>0</v>
      </c>
      <c r="R384" t="b">
        <v>1</v>
      </c>
      <c r="S384" t="b">
        <v>1</v>
      </c>
      <c r="T384" t="s">
        <v>7</v>
      </c>
      <c r="U384" t="b">
        <v>0</v>
      </c>
      <c r="V384" t="b">
        <v>0</v>
      </c>
      <c r="W384">
        <v>1018</v>
      </c>
      <c r="X384">
        <v>0</v>
      </c>
      <c r="Y384">
        <v>0</v>
      </c>
      <c r="Z384">
        <v>0.99</v>
      </c>
      <c r="AA384">
        <v>0.83599999999999997</v>
      </c>
      <c r="AB384">
        <v>0.89</v>
      </c>
      <c r="AC384">
        <v>0.88600000000000001</v>
      </c>
      <c r="AD384">
        <v>9</v>
      </c>
      <c r="AE384">
        <v>2</v>
      </c>
      <c r="AF384">
        <v>2.5289999999999999</v>
      </c>
      <c r="AG384">
        <v>32977.47</v>
      </c>
      <c r="AH384" t="s">
        <v>454</v>
      </c>
      <c r="AI384" t="s">
        <v>1233</v>
      </c>
      <c r="AJ384" t="s">
        <v>1234</v>
      </c>
      <c r="AK384">
        <v>4687091</v>
      </c>
      <c r="AL384">
        <v>0</v>
      </c>
      <c r="AM384">
        <v>0</v>
      </c>
      <c r="AN384">
        <v>0</v>
      </c>
      <c r="AO384">
        <v>0</v>
      </c>
      <c r="AP384">
        <v>27155695</v>
      </c>
      <c r="AQ384">
        <v>12184175</v>
      </c>
      <c r="AR384">
        <v>16509160</v>
      </c>
      <c r="AS384">
        <v>18883478</v>
      </c>
      <c r="AT384">
        <v>19286255</v>
      </c>
      <c r="AU384">
        <v>0</v>
      </c>
      <c r="AV384">
        <v>0</v>
      </c>
      <c r="AW384">
        <v>0</v>
      </c>
      <c r="AX384">
        <v>4687091.125</v>
      </c>
      <c r="AY384">
        <v>0</v>
      </c>
      <c r="AZ384">
        <v>0</v>
      </c>
      <c r="BA384">
        <v>0</v>
      </c>
      <c r="BB384">
        <v>0</v>
      </c>
      <c r="BC384">
        <v>27155694.875</v>
      </c>
      <c r="BD384">
        <v>12184174.5625</v>
      </c>
      <c r="BE384">
        <v>16509160.1875</v>
      </c>
      <c r="BF384">
        <v>18883477.5</v>
      </c>
      <c r="BG384">
        <v>19286255.3125</v>
      </c>
      <c r="BH384">
        <v>0</v>
      </c>
      <c r="BI384">
        <v>0</v>
      </c>
      <c r="BJ384">
        <v>0</v>
      </c>
      <c r="BK384">
        <v>0</v>
      </c>
      <c r="BL384">
        <v>0</v>
      </c>
      <c r="BM384">
        <v>0</v>
      </c>
      <c r="BN384">
        <v>0</v>
      </c>
      <c r="BO384">
        <v>0</v>
      </c>
      <c r="BP384">
        <v>0</v>
      </c>
      <c r="BQ384">
        <v>0</v>
      </c>
      <c r="BR384">
        <v>0</v>
      </c>
      <c r="BS384">
        <v>0</v>
      </c>
      <c r="BT384">
        <v>0</v>
      </c>
      <c r="BU384">
        <v>0</v>
      </c>
      <c r="BV384">
        <v>0</v>
      </c>
      <c r="BW384">
        <v>0</v>
      </c>
    </row>
    <row r="385" spans="1:75" x14ac:dyDescent="0.55000000000000004">
      <c r="A385">
        <v>1020</v>
      </c>
      <c r="B385">
        <v>14.382</v>
      </c>
      <c r="C385">
        <v>828.57483000000002</v>
      </c>
      <c r="D385" t="s">
        <v>1235</v>
      </c>
      <c r="E385" t="s">
        <v>1</v>
      </c>
      <c r="F385" t="s">
        <v>2</v>
      </c>
      <c r="G385">
        <v>0.23</v>
      </c>
      <c r="H385" t="b">
        <v>1</v>
      </c>
      <c r="I385">
        <v>9.5749999999999993</v>
      </c>
      <c r="J385">
        <v>828.57599000000005</v>
      </c>
      <c r="K385" t="s">
        <v>746</v>
      </c>
      <c r="L385" t="s">
        <v>660</v>
      </c>
      <c r="N385" t="s">
        <v>1236</v>
      </c>
      <c r="O385" t="s">
        <v>1245</v>
      </c>
      <c r="P385">
        <v>410</v>
      </c>
      <c r="Q385" t="b">
        <v>0</v>
      </c>
      <c r="R385" t="b">
        <v>1</v>
      </c>
      <c r="S385" t="b">
        <v>1</v>
      </c>
      <c r="T385" t="s">
        <v>7</v>
      </c>
      <c r="U385" t="b">
        <v>0</v>
      </c>
      <c r="V385" t="b">
        <v>0</v>
      </c>
      <c r="W385">
        <v>1020</v>
      </c>
      <c r="X385">
        <v>0</v>
      </c>
      <c r="Y385">
        <v>0</v>
      </c>
      <c r="Z385">
        <v>1</v>
      </c>
      <c r="AA385">
        <v>0.61499999999999999</v>
      </c>
      <c r="AB385">
        <v>0.73699999999999999</v>
      </c>
      <c r="AC385">
        <v>0.90700000000000003</v>
      </c>
      <c r="AD385">
        <v>5</v>
      </c>
      <c r="AE385">
        <v>2</v>
      </c>
      <c r="AF385">
        <v>2.464</v>
      </c>
      <c r="AG385">
        <v>2348.46</v>
      </c>
      <c r="AH385" t="s">
        <v>454</v>
      </c>
      <c r="AI385" t="s">
        <v>1238</v>
      </c>
      <c r="AJ385" t="s">
        <v>1239</v>
      </c>
      <c r="AK385">
        <v>210788</v>
      </c>
      <c r="AL385">
        <v>0</v>
      </c>
      <c r="AM385">
        <v>0</v>
      </c>
      <c r="AN385">
        <v>0</v>
      </c>
      <c r="AO385">
        <v>0</v>
      </c>
      <c r="AP385">
        <v>2325332</v>
      </c>
      <c r="AQ385">
        <v>2332561</v>
      </c>
      <c r="AR385">
        <v>1227427</v>
      </c>
      <c r="AS385">
        <v>1425367</v>
      </c>
      <c r="AT385">
        <v>1412587</v>
      </c>
      <c r="AU385">
        <v>0</v>
      </c>
      <c r="AV385">
        <v>0</v>
      </c>
      <c r="AW385">
        <v>0</v>
      </c>
      <c r="AX385">
        <v>210788.4375</v>
      </c>
      <c r="AY385">
        <v>0</v>
      </c>
      <c r="AZ385">
        <v>0</v>
      </c>
      <c r="BA385">
        <v>0</v>
      </c>
      <c r="BB385">
        <v>0</v>
      </c>
      <c r="BC385">
        <v>2325331.9375</v>
      </c>
      <c r="BD385">
        <v>2332561.3125</v>
      </c>
      <c r="BE385">
        <v>1227426.625</v>
      </c>
      <c r="BF385">
        <v>1425367.25</v>
      </c>
      <c r="BG385">
        <v>1412586.6875</v>
      </c>
      <c r="BH385">
        <v>0</v>
      </c>
      <c r="BI385">
        <v>0</v>
      </c>
      <c r="BJ385">
        <v>0</v>
      </c>
      <c r="BK385">
        <v>0</v>
      </c>
      <c r="BL385">
        <v>0</v>
      </c>
      <c r="BM385">
        <v>0</v>
      </c>
      <c r="BN385">
        <v>0</v>
      </c>
      <c r="BO385">
        <v>0</v>
      </c>
      <c r="BP385">
        <v>0</v>
      </c>
      <c r="BQ385">
        <v>0</v>
      </c>
      <c r="BR385">
        <v>0</v>
      </c>
      <c r="BS385">
        <v>0</v>
      </c>
      <c r="BT385">
        <v>0</v>
      </c>
      <c r="BU385">
        <v>0</v>
      </c>
      <c r="BV385">
        <v>0</v>
      </c>
      <c r="BW385">
        <v>0</v>
      </c>
    </row>
    <row r="386" spans="1:75" x14ac:dyDescent="0.55000000000000004">
      <c r="A386">
        <v>1021</v>
      </c>
      <c r="B386">
        <v>13.973000000000001</v>
      </c>
      <c r="C386">
        <v>828.57532000000003</v>
      </c>
      <c r="D386" t="s">
        <v>1235</v>
      </c>
      <c r="E386" t="s">
        <v>1</v>
      </c>
      <c r="F386" t="s">
        <v>2</v>
      </c>
      <c r="G386">
        <v>0.23</v>
      </c>
      <c r="H386" t="b">
        <v>1</v>
      </c>
      <c r="I386">
        <v>9.5749999999999993</v>
      </c>
      <c r="J386">
        <v>828.57599000000005</v>
      </c>
      <c r="K386" t="s">
        <v>746</v>
      </c>
      <c r="L386" t="s">
        <v>660</v>
      </c>
      <c r="N386" t="s">
        <v>1236</v>
      </c>
      <c r="O386" t="s">
        <v>758</v>
      </c>
      <c r="P386">
        <v>410</v>
      </c>
      <c r="Q386" t="b">
        <v>0</v>
      </c>
      <c r="R386" t="b">
        <v>1</v>
      </c>
      <c r="S386" t="b">
        <v>1</v>
      </c>
      <c r="T386" t="s">
        <v>7</v>
      </c>
      <c r="U386" t="b">
        <v>0</v>
      </c>
      <c r="V386" t="b">
        <v>0</v>
      </c>
      <c r="W386">
        <v>1021</v>
      </c>
      <c r="X386">
        <v>0</v>
      </c>
      <c r="Y386">
        <v>0</v>
      </c>
      <c r="Z386">
        <v>1</v>
      </c>
      <c r="AA386">
        <v>0.65300000000000002</v>
      </c>
      <c r="AB386">
        <v>0.73099999999999998</v>
      </c>
      <c r="AC386">
        <v>0.93899999999999995</v>
      </c>
      <c r="AD386">
        <v>9</v>
      </c>
      <c r="AE386">
        <v>2</v>
      </c>
      <c r="AF386">
        <v>2.484</v>
      </c>
      <c r="AG386">
        <v>79579.61</v>
      </c>
      <c r="AH386" t="s">
        <v>927</v>
      </c>
      <c r="AI386" t="s">
        <v>1240</v>
      </c>
      <c r="AJ386" t="s">
        <v>1241</v>
      </c>
      <c r="AK386">
        <v>9208984</v>
      </c>
      <c r="AL386">
        <v>0</v>
      </c>
      <c r="AM386">
        <v>0</v>
      </c>
      <c r="AN386">
        <v>0</v>
      </c>
      <c r="AO386">
        <v>0</v>
      </c>
      <c r="AP386">
        <v>63620034</v>
      </c>
      <c r="AQ386">
        <v>13178011</v>
      </c>
      <c r="AR386">
        <v>39467084</v>
      </c>
      <c r="AS386">
        <v>44222029</v>
      </c>
      <c r="AT386">
        <v>42298402</v>
      </c>
      <c r="AU386">
        <v>0</v>
      </c>
      <c r="AV386">
        <v>0</v>
      </c>
      <c r="AW386">
        <v>0</v>
      </c>
      <c r="AX386">
        <v>9208983.5</v>
      </c>
      <c r="AY386">
        <v>0</v>
      </c>
      <c r="AZ386">
        <v>0</v>
      </c>
      <c r="BA386">
        <v>0</v>
      </c>
      <c r="BB386">
        <v>0</v>
      </c>
      <c r="BC386">
        <v>63620033.5</v>
      </c>
      <c r="BD386">
        <v>13178010.5625</v>
      </c>
      <c r="BE386">
        <v>39467084.5</v>
      </c>
      <c r="BF386">
        <v>44222029.25</v>
      </c>
      <c r="BG386">
        <v>42298401.875</v>
      </c>
      <c r="BH386">
        <v>0</v>
      </c>
      <c r="BI386">
        <v>0</v>
      </c>
      <c r="BJ386">
        <v>0</v>
      </c>
      <c r="BK386">
        <v>0</v>
      </c>
      <c r="BL386">
        <v>0</v>
      </c>
      <c r="BM386">
        <v>0</v>
      </c>
      <c r="BN386">
        <v>0</v>
      </c>
      <c r="BO386">
        <v>0</v>
      </c>
      <c r="BP386">
        <v>0</v>
      </c>
      <c r="BQ386">
        <v>0</v>
      </c>
      <c r="BR386">
        <v>0</v>
      </c>
      <c r="BS386">
        <v>0</v>
      </c>
      <c r="BT386">
        <v>0</v>
      </c>
      <c r="BU386">
        <v>0</v>
      </c>
      <c r="BV386">
        <v>0</v>
      </c>
      <c r="BW386">
        <v>0</v>
      </c>
    </row>
    <row r="387" spans="1:75" x14ac:dyDescent="0.55000000000000004">
      <c r="A387">
        <v>1029</v>
      </c>
      <c r="B387">
        <v>15.926</v>
      </c>
      <c r="C387">
        <v>828.59276999999997</v>
      </c>
      <c r="D387" t="s">
        <v>1242</v>
      </c>
      <c r="E387" t="s">
        <v>32</v>
      </c>
      <c r="F387" t="s">
        <v>2</v>
      </c>
      <c r="G387">
        <v>0.38</v>
      </c>
      <c r="H387" t="b">
        <v>1</v>
      </c>
      <c r="I387">
        <v>11.755000000000001</v>
      </c>
      <c r="J387">
        <v>828.59131000000002</v>
      </c>
      <c r="K387" t="s">
        <v>1243</v>
      </c>
      <c r="L387" t="s">
        <v>124</v>
      </c>
      <c r="N387" t="s">
        <v>1244</v>
      </c>
      <c r="O387" t="s">
        <v>1253</v>
      </c>
      <c r="P387">
        <v>410</v>
      </c>
      <c r="Q387" t="b">
        <v>0</v>
      </c>
      <c r="R387" t="b">
        <v>1</v>
      </c>
      <c r="S387" t="b">
        <v>1</v>
      </c>
      <c r="T387" t="s">
        <v>7</v>
      </c>
      <c r="U387" t="b">
        <v>0</v>
      </c>
      <c r="V387" t="b">
        <v>0</v>
      </c>
      <c r="W387">
        <v>1029</v>
      </c>
      <c r="X387">
        <v>0</v>
      </c>
      <c r="Y387">
        <v>0</v>
      </c>
      <c r="Z387">
        <v>0.98</v>
      </c>
      <c r="AA387">
        <v>0.34499999999999997</v>
      </c>
      <c r="AB387">
        <v>0.41399999999999998</v>
      </c>
      <c r="AC387">
        <v>0.92200000000000004</v>
      </c>
      <c r="AD387">
        <v>3</v>
      </c>
      <c r="AE387">
        <v>2</v>
      </c>
      <c r="AF387">
        <v>2.3319999999999999</v>
      </c>
      <c r="AG387">
        <v>138.94999999999999</v>
      </c>
      <c r="AH387" t="s">
        <v>927</v>
      </c>
      <c r="AI387" t="s">
        <v>1246</v>
      </c>
      <c r="AJ387" t="s">
        <v>1247</v>
      </c>
      <c r="AK387">
        <v>7001</v>
      </c>
      <c r="AL387">
        <v>0</v>
      </c>
      <c r="AM387">
        <v>0</v>
      </c>
      <c r="AN387">
        <v>0</v>
      </c>
      <c r="AO387">
        <v>0</v>
      </c>
      <c r="AP387">
        <v>87404</v>
      </c>
      <c r="AQ387">
        <v>86448</v>
      </c>
      <c r="AR387">
        <v>45636</v>
      </c>
      <c r="AS387">
        <v>53404</v>
      </c>
      <c r="AT387">
        <v>49598</v>
      </c>
      <c r="AU387">
        <v>0</v>
      </c>
      <c r="AV387">
        <v>0</v>
      </c>
      <c r="AW387">
        <v>0</v>
      </c>
      <c r="AX387">
        <v>7001.125</v>
      </c>
      <c r="AY387">
        <v>0</v>
      </c>
      <c r="AZ387">
        <v>0</v>
      </c>
      <c r="BA387">
        <v>0</v>
      </c>
      <c r="BB387">
        <v>0</v>
      </c>
      <c r="BC387">
        <v>87403.5</v>
      </c>
      <c r="BD387">
        <v>86447.875</v>
      </c>
      <c r="BE387">
        <v>45636.5</v>
      </c>
      <c r="BF387">
        <v>53403.5</v>
      </c>
      <c r="BG387">
        <v>49598</v>
      </c>
      <c r="BH387">
        <v>0</v>
      </c>
      <c r="BI387">
        <v>0</v>
      </c>
      <c r="BJ387">
        <v>0</v>
      </c>
      <c r="BK387">
        <v>0</v>
      </c>
      <c r="BL387">
        <v>0</v>
      </c>
      <c r="BM387">
        <v>0</v>
      </c>
      <c r="BN387">
        <v>0</v>
      </c>
      <c r="BO387">
        <v>0</v>
      </c>
      <c r="BP387">
        <v>0</v>
      </c>
      <c r="BQ387">
        <v>0</v>
      </c>
      <c r="BR387">
        <v>0</v>
      </c>
      <c r="BS387">
        <v>0</v>
      </c>
      <c r="BT387">
        <v>0</v>
      </c>
      <c r="BU387">
        <v>0</v>
      </c>
      <c r="BV387">
        <v>0</v>
      </c>
      <c r="BW387">
        <v>0</v>
      </c>
    </row>
    <row r="388" spans="1:75" x14ac:dyDescent="0.55000000000000004">
      <c r="A388">
        <v>1031</v>
      </c>
      <c r="B388">
        <v>16.893000000000001</v>
      </c>
      <c r="C388">
        <v>828.65723000000003</v>
      </c>
      <c r="D388" t="s">
        <v>755</v>
      </c>
      <c r="E388" t="s">
        <v>1</v>
      </c>
      <c r="F388" t="s">
        <v>2</v>
      </c>
      <c r="G388">
        <v>0.46</v>
      </c>
      <c r="H388" t="b">
        <v>1</v>
      </c>
      <c r="I388">
        <v>12.465</v>
      </c>
      <c r="J388">
        <v>828.65697999999998</v>
      </c>
      <c r="K388" t="s">
        <v>756</v>
      </c>
      <c r="L388" t="s">
        <v>650</v>
      </c>
      <c r="N388" t="s">
        <v>757</v>
      </c>
      <c r="O388" t="s">
        <v>1258</v>
      </c>
      <c r="P388">
        <v>410</v>
      </c>
      <c r="Q388" t="b">
        <v>0</v>
      </c>
      <c r="R388" t="b">
        <v>1</v>
      </c>
      <c r="S388" t="b">
        <v>1</v>
      </c>
      <c r="T388" t="s">
        <v>7</v>
      </c>
      <c r="U388" t="b">
        <v>0</v>
      </c>
      <c r="V388" t="b">
        <v>0</v>
      </c>
      <c r="W388">
        <v>1031</v>
      </c>
      <c r="X388">
        <v>0</v>
      </c>
      <c r="Y388">
        <v>0</v>
      </c>
      <c r="Z388">
        <v>1</v>
      </c>
      <c r="AA388">
        <v>0.52800000000000002</v>
      </c>
      <c r="AB388">
        <v>0.8</v>
      </c>
      <c r="AC388">
        <v>0.91500000000000004</v>
      </c>
      <c r="AD388">
        <v>5</v>
      </c>
      <c r="AE388">
        <v>2</v>
      </c>
      <c r="AF388">
        <v>2.46</v>
      </c>
      <c r="AG388">
        <v>4730.07</v>
      </c>
      <c r="AH388" t="s">
        <v>927</v>
      </c>
      <c r="AI388" t="s">
        <v>1248</v>
      </c>
      <c r="AJ388" t="s">
        <v>1249</v>
      </c>
      <c r="AK388">
        <v>229881</v>
      </c>
      <c r="AL388">
        <v>0</v>
      </c>
      <c r="AM388">
        <v>0</v>
      </c>
      <c r="AN388">
        <v>0</v>
      </c>
      <c r="AO388">
        <v>0</v>
      </c>
      <c r="AP388">
        <v>3289116</v>
      </c>
      <c r="AQ388">
        <v>3533904</v>
      </c>
      <c r="AR388">
        <v>1790143</v>
      </c>
      <c r="AS388">
        <v>2098029</v>
      </c>
      <c r="AT388">
        <v>1984928</v>
      </c>
      <c r="AU388">
        <v>0</v>
      </c>
      <c r="AV388">
        <v>0</v>
      </c>
      <c r="AW388">
        <v>0</v>
      </c>
      <c r="AX388">
        <v>229880.9375</v>
      </c>
      <c r="AY388">
        <v>0</v>
      </c>
      <c r="AZ388">
        <v>0</v>
      </c>
      <c r="BA388">
        <v>0</v>
      </c>
      <c r="BB388">
        <v>0</v>
      </c>
      <c r="BC388">
        <v>3289116.3125</v>
      </c>
      <c r="BD388">
        <v>3533903.75</v>
      </c>
      <c r="BE388">
        <v>1790143.4375</v>
      </c>
      <c r="BF388">
        <v>2098029.4375</v>
      </c>
      <c r="BG388">
        <v>1984928.0625</v>
      </c>
      <c r="BH388">
        <v>0</v>
      </c>
      <c r="BI388">
        <v>0</v>
      </c>
      <c r="BJ388">
        <v>0</v>
      </c>
      <c r="BK388">
        <v>0</v>
      </c>
      <c r="BL388">
        <v>0</v>
      </c>
      <c r="BM388">
        <v>0</v>
      </c>
      <c r="BN388">
        <v>0</v>
      </c>
      <c r="BO388">
        <v>0</v>
      </c>
      <c r="BP388">
        <v>0</v>
      </c>
      <c r="BQ388">
        <v>0</v>
      </c>
      <c r="BR388">
        <v>0</v>
      </c>
      <c r="BS388">
        <v>0</v>
      </c>
      <c r="BT388">
        <v>0</v>
      </c>
      <c r="BU388">
        <v>0</v>
      </c>
      <c r="BV388">
        <v>0</v>
      </c>
      <c r="BW388">
        <v>0</v>
      </c>
    </row>
    <row r="389" spans="1:75" x14ac:dyDescent="0.55000000000000004">
      <c r="A389">
        <v>1041</v>
      </c>
      <c r="B389">
        <v>15.625</v>
      </c>
      <c r="C389">
        <v>829.64428999999996</v>
      </c>
      <c r="D389" t="s">
        <v>1250</v>
      </c>
      <c r="E389" t="s">
        <v>1</v>
      </c>
      <c r="F389" t="s">
        <v>2</v>
      </c>
      <c r="G389">
        <v>0.38</v>
      </c>
      <c r="H389" t="b">
        <v>1</v>
      </c>
      <c r="I389">
        <v>10.847</v>
      </c>
      <c r="J389">
        <v>829.64398000000006</v>
      </c>
      <c r="K389" t="s">
        <v>1251</v>
      </c>
      <c r="L389" t="s">
        <v>181</v>
      </c>
      <c r="N389" t="s">
        <v>1252</v>
      </c>
      <c r="O389" t="s">
        <v>1263</v>
      </c>
      <c r="P389">
        <v>410</v>
      </c>
      <c r="Q389" t="b">
        <v>0</v>
      </c>
      <c r="R389" t="b">
        <v>1</v>
      </c>
      <c r="S389" t="b">
        <v>1</v>
      </c>
      <c r="T389" t="s">
        <v>7</v>
      </c>
      <c r="U389" t="b">
        <v>0</v>
      </c>
      <c r="V389" t="b">
        <v>0</v>
      </c>
      <c r="W389">
        <v>1041</v>
      </c>
      <c r="X389">
        <v>0</v>
      </c>
      <c r="Y389">
        <v>0</v>
      </c>
      <c r="Z389">
        <v>1</v>
      </c>
      <c r="AA389">
        <v>0.878</v>
      </c>
      <c r="AB389">
        <v>0.91600000000000004</v>
      </c>
      <c r="AC389">
        <v>0.94299999999999995</v>
      </c>
      <c r="AD389">
        <v>5</v>
      </c>
      <c r="AE389">
        <v>2</v>
      </c>
      <c r="AF389">
        <v>2.5739999999999998</v>
      </c>
      <c r="AG389">
        <v>23581.38</v>
      </c>
      <c r="AH389" t="s">
        <v>927</v>
      </c>
      <c r="AI389" t="s">
        <v>1254</v>
      </c>
      <c r="AJ389" t="s">
        <v>1255</v>
      </c>
      <c r="AK389">
        <v>1080888</v>
      </c>
      <c r="AL389">
        <v>0</v>
      </c>
      <c r="AM389">
        <v>0</v>
      </c>
      <c r="AN389">
        <v>0</v>
      </c>
      <c r="AO389">
        <v>0</v>
      </c>
      <c r="AP389">
        <v>10472147</v>
      </c>
      <c r="AQ389">
        <v>10599395</v>
      </c>
      <c r="AR389">
        <v>5854777</v>
      </c>
      <c r="AS389">
        <v>6750442</v>
      </c>
      <c r="AT389">
        <v>6708892</v>
      </c>
      <c r="AU389">
        <v>0</v>
      </c>
      <c r="AV389">
        <v>0</v>
      </c>
      <c r="AW389">
        <v>0</v>
      </c>
      <c r="AX389">
        <v>1080887.875</v>
      </c>
      <c r="AY389">
        <v>0</v>
      </c>
      <c r="AZ389">
        <v>0</v>
      </c>
      <c r="BA389">
        <v>0</v>
      </c>
      <c r="BB389">
        <v>0</v>
      </c>
      <c r="BC389">
        <v>10472146.625</v>
      </c>
      <c r="BD389">
        <v>10599394.9375</v>
      </c>
      <c r="BE389">
        <v>5854777</v>
      </c>
      <c r="BF389">
        <v>6750442.4375</v>
      </c>
      <c r="BG389">
        <v>6708892.4375</v>
      </c>
      <c r="BH389">
        <v>0</v>
      </c>
      <c r="BI389">
        <v>0</v>
      </c>
      <c r="BJ389">
        <v>0</v>
      </c>
      <c r="BK389">
        <v>0</v>
      </c>
      <c r="BL389">
        <v>0</v>
      </c>
      <c r="BM389">
        <v>0</v>
      </c>
      <c r="BN389">
        <v>0</v>
      </c>
      <c r="BO389">
        <v>0</v>
      </c>
      <c r="BP389">
        <v>0</v>
      </c>
      <c r="BQ389">
        <v>0</v>
      </c>
      <c r="BR389">
        <v>0</v>
      </c>
      <c r="BS389">
        <v>0</v>
      </c>
      <c r="BT389">
        <v>0</v>
      </c>
      <c r="BU389">
        <v>0</v>
      </c>
      <c r="BV389">
        <v>0</v>
      </c>
      <c r="BW389">
        <v>0</v>
      </c>
    </row>
    <row r="390" spans="1:75" x14ac:dyDescent="0.55000000000000004">
      <c r="A390">
        <v>1047</v>
      </c>
      <c r="B390">
        <v>14.89</v>
      </c>
      <c r="C390">
        <v>830.59124999999995</v>
      </c>
      <c r="D390" t="s">
        <v>1256</v>
      </c>
      <c r="E390" t="s">
        <v>1</v>
      </c>
      <c r="F390" t="s">
        <v>2</v>
      </c>
      <c r="G390">
        <v>0.23</v>
      </c>
      <c r="H390" t="b">
        <v>1</v>
      </c>
      <c r="I390">
        <v>9.9559999999999995</v>
      </c>
      <c r="J390">
        <v>830.59167000000002</v>
      </c>
      <c r="K390" t="s">
        <v>761</v>
      </c>
      <c r="L390" t="s">
        <v>660</v>
      </c>
      <c r="N390" t="s">
        <v>1257</v>
      </c>
      <c r="O390" t="s">
        <v>1269</v>
      </c>
      <c r="P390">
        <v>410</v>
      </c>
      <c r="Q390" t="b">
        <v>0</v>
      </c>
      <c r="R390" t="b">
        <v>1</v>
      </c>
      <c r="S390" t="b">
        <v>1</v>
      </c>
      <c r="T390" t="s">
        <v>7</v>
      </c>
      <c r="U390" t="b">
        <v>0</v>
      </c>
      <c r="V390" t="b">
        <v>0</v>
      </c>
      <c r="W390">
        <v>1047</v>
      </c>
      <c r="X390">
        <v>0</v>
      </c>
      <c r="Y390">
        <v>0</v>
      </c>
      <c r="Z390">
        <v>1</v>
      </c>
      <c r="AA390">
        <v>0.83899999999999997</v>
      </c>
      <c r="AB390">
        <v>0.88900000000000001</v>
      </c>
      <c r="AC390">
        <v>0.88700000000000001</v>
      </c>
      <c r="AD390">
        <v>9</v>
      </c>
      <c r="AE390">
        <v>2</v>
      </c>
      <c r="AF390">
        <v>2.536</v>
      </c>
      <c r="AG390">
        <v>301896.59999999998</v>
      </c>
      <c r="AH390" t="s">
        <v>927</v>
      </c>
      <c r="AI390" t="s">
        <v>1259</v>
      </c>
      <c r="AJ390" t="s">
        <v>1260</v>
      </c>
      <c r="AK390">
        <v>32749185</v>
      </c>
      <c r="AL390">
        <v>0</v>
      </c>
      <c r="AM390">
        <v>0</v>
      </c>
      <c r="AN390">
        <v>0</v>
      </c>
      <c r="AO390">
        <v>0</v>
      </c>
      <c r="AP390">
        <v>172091198</v>
      </c>
      <c r="AQ390">
        <v>176721904</v>
      </c>
      <c r="AR390">
        <v>114384221</v>
      </c>
      <c r="AS390">
        <v>126960042</v>
      </c>
      <c r="AT390">
        <v>123119928</v>
      </c>
      <c r="AU390">
        <v>0</v>
      </c>
      <c r="AV390">
        <v>0</v>
      </c>
      <c r="AW390">
        <v>0</v>
      </c>
      <c r="AX390">
        <v>32749185.375</v>
      </c>
      <c r="AY390">
        <v>0</v>
      </c>
      <c r="AZ390">
        <v>0</v>
      </c>
      <c r="BA390">
        <v>0</v>
      </c>
      <c r="BB390">
        <v>0</v>
      </c>
      <c r="BC390">
        <v>172091198</v>
      </c>
      <c r="BD390">
        <v>176721904.5</v>
      </c>
      <c r="BE390">
        <v>114384221</v>
      </c>
      <c r="BF390">
        <v>126960042.5</v>
      </c>
      <c r="BG390">
        <v>123119928.5</v>
      </c>
      <c r="BH390">
        <v>0</v>
      </c>
      <c r="BI390">
        <v>0</v>
      </c>
      <c r="BJ390">
        <v>0</v>
      </c>
      <c r="BK390">
        <v>0</v>
      </c>
      <c r="BL390">
        <v>0</v>
      </c>
      <c r="BM390">
        <v>0</v>
      </c>
      <c r="BN390">
        <v>0</v>
      </c>
      <c r="BO390">
        <v>0</v>
      </c>
      <c r="BP390">
        <v>0</v>
      </c>
      <c r="BQ390">
        <v>0</v>
      </c>
      <c r="BR390">
        <v>0</v>
      </c>
      <c r="BS390">
        <v>0</v>
      </c>
      <c r="BT390">
        <v>0</v>
      </c>
      <c r="BU390">
        <v>0</v>
      </c>
      <c r="BV390">
        <v>0</v>
      </c>
      <c r="BW390">
        <v>0</v>
      </c>
    </row>
    <row r="391" spans="1:75" x14ac:dyDescent="0.55000000000000004">
      <c r="A391">
        <v>1048</v>
      </c>
      <c r="B391">
        <v>14.811999999999999</v>
      </c>
      <c r="C391">
        <v>830.59167000000002</v>
      </c>
      <c r="D391" t="s">
        <v>1261</v>
      </c>
      <c r="E391" t="s">
        <v>1</v>
      </c>
      <c r="F391" t="s">
        <v>2</v>
      </c>
      <c r="G391">
        <v>0.23</v>
      </c>
      <c r="H391" t="b">
        <v>1</v>
      </c>
      <c r="I391">
        <v>9.8290000000000006</v>
      </c>
      <c r="J391">
        <v>830.59167000000002</v>
      </c>
      <c r="K391" t="s">
        <v>761</v>
      </c>
      <c r="L391" t="s">
        <v>660</v>
      </c>
      <c r="N391" t="s">
        <v>1262</v>
      </c>
      <c r="O391" t="s">
        <v>1275</v>
      </c>
      <c r="P391">
        <v>410</v>
      </c>
      <c r="Q391" t="b">
        <v>0</v>
      </c>
      <c r="R391" t="b">
        <v>1</v>
      </c>
      <c r="S391" t="b">
        <v>1</v>
      </c>
      <c r="T391" t="s">
        <v>7</v>
      </c>
      <c r="U391" t="b">
        <v>0</v>
      </c>
      <c r="V391" t="b">
        <v>0</v>
      </c>
      <c r="W391">
        <v>1048</v>
      </c>
      <c r="X391">
        <v>0</v>
      </c>
      <c r="Y391">
        <v>0</v>
      </c>
      <c r="Z391">
        <v>1</v>
      </c>
      <c r="AA391">
        <v>0.53900000000000003</v>
      </c>
      <c r="AB391">
        <v>0.64400000000000002</v>
      </c>
      <c r="AC391">
        <v>0.89200000000000002</v>
      </c>
      <c r="AD391">
        <v>5</v>
      </c>
      <c r="AE391">
        <v>2</v>
      </c>
      <c r="AF391">
        <v>2.42</v>
      </c>
      <c r="AG391">
        <v>240644.8</v>
      </c>
      <c r="AH391" t="s">
        <v>944</v>
      </c>
      <c r="AI391" t="s">
        <v>1264</v>
      </c>
      <c r="AJ391" t="s">
        <v>1265</v>
      </c>
      <c r="AK391">
        <v>5135745</v>
      </c>
      <c r="AL391">
        <v>0</v>
      </c>
      <c r="AM391">
        <v>0</v>
      </c>
      <c r="AN391">
        <v>0</v>
      </c>
      <c r="AO391">
        <v>0</v>
      </c>
      <c r="AP391">
        <v>172091198</v>
      </c>
      <c r="AQ391">
        <v>176721904</v>
      </c>
      <c r="AR391">
        <v>114384221</v>
      </c>
      <c r="AS391">
        <v>126960042</v>
      </c>
      <c r="AT391">
        <v>123119928</v>
      </c>
      <c r="AU391">
        <v>0</v>
      </c>
      <c r="AV391">
        <v>0</v>
      </c>
      <c r="AW391">
        <v>0</v>
      </c>
      <c r="AX391">
        <v>5135745</v>
      </c>
      <c r="AY391">
        <v>0</v>
      </c>
      <c r="AZ391">
        <v>0</v>
      </c>
      <c r="BA391">
        <v>0</v>
      </c>
      <c r="BB391">
        <v>0</v>
      </c>
      <c r="BC391">
        <v>172091198</v>
      </c>
      <c r="BD391">
        <v>176721904.5</v>
      </c>
      <c r="BE391">
        <v>114384221</v>
      </c>
      <c r="BF391">
        <v>126960042.5</v>
      </c>
      <c r="BG391">
        <v>123119928.5</v>
      </c>
      <c r="BH391">
        <v>0</v>
      </c>
      <c r="BI391">
        <v>0</v>
      </c>
      <c r="BJ391">
        <v>0</v>
      </c>
      <c r="BK391">
        <v>0</v>
      </c>
      <c r="BL391">
        <v>0</v>
      </c>
      <c r="BM391">
        <v>0</v>
      </c>
      <c r="BN391">
        <v>0</v>
      </c>
      <c r="BO391">
        <v>0</v>
      </c>
      <c r="BP391">
        <v>0</v>
      </c>
      <c r="BQ391">
        <v>0</v>
      </c>
      <c r="BR391">
        <v>0</v>
      </c>
      <c r="BS391">
        <v>0</v>
      </c>
      <c r="BT391">
        <v>0</v>
      </c>
      <c r="BU391">
        <v>0</v>
      </c>
      <c r="BV391">
        <v>0</v>
      </c>
      <c r="BW391">
        <v>0</v>
      </c>
    </row>
    <row r="392" spans="1:75" x14ac:dyDescent="0.55000000000000004">
      <c r="A392">
        <v>1056</v>
      </c>
      <c r="B392">
        <v>16.727</v>
      </c>
      <c r="C392">
        <v>831.65905999999995</v>
      </c>
      <c r="D392" t="s">
        <v>1266</v>
      </c>
      <c r="E392" t="s">
        <v>1</v>
      </c>
      <c r="F392" t="s">
        <v>2</v>
      </c>
      <c r="G392">
        <v>0.23</v>
      </c>
      <c r="H392" t="b">
        <v>1</v>
      </c>
      <c r="I392">
        <v>11.827</v>
      </c>
      <c r="J392">
        <v>831.65972999999997</v>
      </c>
      <c r="K392" t="s">
        <v>1267</v>
      </c>
      <c r="L392" t="s">
        <v>181</v>
      </c>
      <c r="N392" t="s">
        <v>1268</v>
      </c>
      <c r="O392" t="s">
        <v>1275</v>
      </c>
      <c r="P392">
        <v>410</v>
      </c>
      <c r="Q392" t="b">
        <v>0</v>
      </c>
      <c r="R392" t="b">
        <v>1</v>
      </c>
      <c r="S392" t="b">
        <v>1</v>
      </c>
      <c r="T392" t="s">
        <v>7</v>
      </c>
      <c r="U392" t="b">
        <v>0</v>
      </c>
      <c r="V392" t="b">
        <v>0</v>
      </c>
      <c r="W392">
        <v>1056</v>
      </c>
      <c r="X392">
        <v>0</v>
      </c>
      <c r="Y392">
        <v>0</v>
      </c>
      <c r="Z392">
        <v>1</v>
      </c>
      <c r="AA392">
        <v>0.872</v>
      </c>
      <c r="AB392">
        <v>0.92200000000000004</v>
      </c>
      <c r="AC392">
        <v>0.94799999999999995</v>
      </c>
      <c r="AD392">
        <v>5</v>
      </c>
      <c r="AE392">
        <v>2</v>
      </c>
      <c r="AF392">
        <v>2.577</v>
      </c>
      <c r="AG392">
        <v>75832.39</v>
      </c>
      <c r="AH392" t="s">
        <v>927</v>
      </c>
      <c r="AI392" t="s">
        <v>1270</v>
      </c>
      <c r="AJ392" t="s">
        <v>1271</v>
      </c>
      <c r="AK392">
        <v>6274819</v>
      </c>
      <c r="AL392">
        <v>0</v>
      </c>
      <c r="AM392">
        <v>0</v>
      </c>
      <c r="AN392">
        <v>0</v>
      </c>
      <c r="AO392">
        <v>0</v>
      </c>
      <c r="AP392">
        <v>50381267</v>
      </c>
      <c r="AQ392">
        <v>51067208</v>
      </c>
      <c r="AR392">
        <v>30385237</v>
      </c>
      <c r="AS392">
        <v>35599534</v>
      </c>
      <c r="AT392">
        <v>33923337</v>
      </c>
      <c r="AU392">
        <v>0</v>
      </c>
      <c r="AV392">
        <v>0</v>
      </c>
      <c r="AW392">
        <v>0</v>
      </c>
      <c r="AX392">
        <v>6274818.625</v>
      </c>
      <c r="AY392">
        <v>0</v>
      </c>
      <c r="AZ392">
        <v>0</v>
      </c>
      <c r="BA392">
        <v>0</v>
      </c>
      <c r="BB392">
        <v>0</v>
      </c>
      <c r="BC392">
        <v>50381266.875</v>
      </c>
      <c r="BD392">
        <v>51067208.5</v>
      </c>
      <c r="BE392">
        <v>30385237</v>
      </c>
      <c r="BF392">
        <v>35599534.125</v>
      </c>
      <c r="BG392">
        <v>33923337.125</v>
      </c>
      <c r="BH392">
        <v>0</v>
      </c>
      <c r="BI392">
        <v>0</v>
      </c>
      <c r="BJ392">
        <v>0</v>
      </c>
      <c r="BK392">
        <v>0</v>
      </c>
      <c r="BL392">
        <v>0</v>
      </c>
      <c r="BM392">
        <v>0</v>
      </c>
      <c r="BN392">
        <v>0</v>
      </c>
      <c r="BO392">
        <v>0</v>
      </c>
      <c r="BP392">
        <v>0</v>
      </c>
      <c r="BQ392">
        <v>0</v>
      </c>
      <c r="BR392">
        <v>0</v>
      </c>
      <c r="BS392">
        <v>0</v>
      </c>
      <c r="BT392">
        <v>0</v>
      </c>
      <c r="BU392">
        <v>0</v>
      </c>
      <c r="BV392">
        <v>0</v>
      </c>
      <c r="BW392">
        <v>0</v>
      </c>
    </row>
    <row r="393" spans="1:75" x14ac:dyDescent="0.55000000000000004">
      <c r="A393">
        <v>1074</v>
      </c>
      <c r="B393">
        <v>15.669</v>
      </c>
      <c r="C393">
        <v>832.60657000000003</v>
      </c>
      <c r="D393" t="s">
        <v>1272</v>
      </c>
      <c r="E393" t="s">
        <v>1</v>
      </c>
      <c r="F393" t="s">
        <v>2</v>
      </c>
      <c r="G393">
        <v>0.23</v>
      </c>
      <c r="H393" t="b">
        <v>1</v>
      </c>
      <c r="I393">
        <v>10.734999999999999</v>
      </c>
      <c r="J393">
        <v>832.60730000000001</v>
      </c>
      <c r="K393" t="s">
        <v>1273</v>
      </c>
      <c r="L393" t="s">
        <v>660</v>
      </c>
      <c r="N393" t="s">
        <v>1274</v>
      </c>
      <c r="O393" t="s">
        <v>1283</v>
      </c>
      <c r="P393">
        <v>410</v>
      </c>
      <c r="Q393" t="b">
        <v>0</v>
      </c>
      <c r="R393" t="b">
        <v>1</v>
      </c>
      <c r="S393" t="b">
        <v>1</v>
      </c>
      <c r="T393" t="s">
        <v>7</v>
      </c>
      <c r="U393" t="b">
        <v>0</v>
      </c>
      <c r="V393" t="b">
        <v>0</v>
      </c>
      <c r="W393">
        <v>1074</v>
      </c>
      <c r="X393">
        <v>0</v>
      </c>
      <c r="Y393">
        <v>0</v>
      </c>
      <c r="Z393">
        <v>1</v>
      </c>
      <c r="AA393">
        <v>0.80800000000000005</v>
      </c>
      <c r="AB393">
        <v>0.86</v>
      </c>
      <c r="AC393">
        <v>0.89900000000000002</v>
      </c>
      <c r="AD393">
        <v>9</v>
      </c>
      <c r="AE393">
        <v>2</v>
      </c>
      <c r="AF393">
        <v>2.5270000000000001</v>
      </c>
      <c r="AG393">
        <v>49678.82</v>
      </c>
      <c r="AH393" t="s">
        <v>990</v>
      </c>
      <c r="AI393" t="s">
        <v>1276</v>
      </c>
      <c r="AJ393" t="s">
        <v>1277</v>
      </c>
      <c r="AK393">
        <v>997660</v>
      </c>
      <c r="AL393">
        <v>0</v>
      </c>
      <c r="AM393">
        <v>0</v>
      </c>
      <c r="AN393">
        <v>0</v>
      </c>
      <c r="AO393">
        <v>0</v>
      </c>
      <c r="AP393">
        <v>36634938</v>
      </c>
      <c r="AQ393">
        <v>36680363</v>
      </c>
      <c r="AR393">
        <v>21684267</v>
      </c>
      <c r="AS393">
        <v>24351117</v>
      </c>
      <c r="AT393">
        <v>24406709</v>
      </c>
      <c r="AU393">
        <v>0</v>
      </c>
      <c r="AV393">
        <v>0</v>
      </c>
      <c r="AW393">
        <v>0</v>
      </c>
      <c r="AX393">
        <v>997659.9375</v>
      </c>
      <c r="AY393">
        <v>0</v>
      </c>
      <c r="AZ393">
        <v>0</v>
      </c>
      <c r="BA393">
        <v>0</v>
      </c>
      <c r="BB393">
        <v>0</v>
      </c>
      <c r="BC393">
        <v>36634938.125</v>
      </c>
      <c r="BD393">
        <v>36680362.875</v>
      </c>
      <c r="BE393">
        <v>21684266.625</v>
      </c>
      <c r="BF393">
        <v>24351117.3125</v>
      </c>
      <c r="BG393">
        <v>24406709.25</v>
      </c>
      <c r="BH393">
        <v>0</v>
      </c>
      <c r="BI393">
        <v>0</v>
      </c>
      <c r="BJ393">
        <v>0</v>
      </c>
      <c r="BK393">
        <v>0</v>
      </c>
      <c r="BL393">
        <v>0</v>
      </c>
      <c r="BM393">
        <v>0</v>
      </c>
      <c r="BN393">
        <v>0</v>
      </c>
      <c r="BO393">
        <v>0</v>
      </c>
      <c r="BP393">
        <v>0</v>
      </c>
      <c r="BQ393">
        <v>0</v>
      </c>
      <c r="BR393">
        <v>0</v>
      </c>
      <c r="BS393">
        <v>0</v>
      </c>
      <c r="BT393">
        <v>0</v>
      </c>
      <c r="BU393">
        <v>0</v>
      </c>
      <c r="BV393">
        <v>0</v>
      </c>
      <c r="BW393">
        <v>0</v>
      </c>
    </row>
    <row r="394" spans="1:75" x14ac:dyDescent="0.55000000000000004">
      <c r="A394">
        <v>1075</v>
      </c>
      <c r="B394">
        <v>15.747999999999999</v>
      </c>
      <c r="C394">
        <v>832.60668999999996</v>
      </c>
      <c r="D394" t="s">
        <v>1272</v>
      </c>
      <c r="E394" t="s">
        <v>1</v>
      </c>
      <c r="F394" t="s">
        <v>2</v>
      </c>
      <c r="G394">
        <v>0.23</v>
      </c>
      <c r="H394" t="b">
        <v>1</v>
      </c>
      <c r="I394">
        <v>10.734999999999999</v>
      </c>
      <c r="J394">
        <v>832.60730000000001</v>
      </c>
      <c r="K394" t="s">
        <v>1273</v>
      </c>
      <c r="L394" t="s">
        <v>660</v>
      </c>
      <c r="N394" t="s">
        <v>1274</v>
      </c>
      <c r="O394" t="s">
        <v>1289</v>
      </c>
      <c r="P394">
        <v>410</v>
      </c>
      <c r="Q394" t="b">
        <v>0</v>
      </c>
      <c r="R394" t="b">
        <v>1</v>
      </c>
      <c r="S394" t="b">
        <v>1</v>
      </c>
      <c r="T394" t="s">
        <v>7</v>
      </c>
      <c r="U394" t="b">
        <v>0</v>
      </c>
      <c r="V394" t="b">
        <v>0</v>
      </c>
      <c r="W394">
        <v>1075</v>
      </c>
      <c r="X394">
        <v>0</v>
      </c>
      <c r="Y394">
        <v>0</v>
      </c>
      <c r="Z394">
        <v>1</v>
      </c>
      <c r="AA394">
        <v>0.81699999999999995</v>
      </c>
      <c r="AB394">
        <v>0.85099999999999998</v>
      </c>
      <c r="AC394">
        <v>0.89900000000000002</v>
      </c>
      <c r="AD394">
        <v>9</v>
      </c>
      <c r="AE394">
        <v>2</v>
      </c>
      <c r="AF394">
        <v>2.528</v>
      </c>
      <c r="AG394">
        <v>54558.65</v>
      </c>
      <c r="AH394" t="s">
        <v>454</v>
      </c>
      <c r="AI394" t="s">
        <v>1278</v>
      </c>
      <c r="AJ394" t="s">
        <v>1279</v>
      </c>
      <c r="AK394">
        <v>4775842</v>
      </c>
      <c r="AL394">
        <v>0</v>
      </c>
      <c r="AM394">
        <v>0</v>
      </c>
      <c r="AN394">
        <v>0</v>
      </c>
      <c r="AO394">
        <v>0</v>
      </c>
      <c r="AP394">
        <v>36634938</v>
      </c>
      <c r="AQ394">
        <v>36680363</v>
      </c>
      <c r="AR394">
        <v>21684267</v>
      </c>
      <c r="AS394">
        <v>24351117</v>
      </c>
      <c r="AT394">
        <v>24406709</v>
      </c>
      <c r="AU394">
        <v>0</v>
      </c>
      <c r="AV394">
        <v>0</v>
      </c>
      <c r="AW394">
        <v>0</v>
      </c>
      <c r="AX394">
        <v>4775842.0625</v>
      </c>
      <c r="AY394">
        <v>0</v>
      </c>
      <c r="AZ394">
        <v>0</v>
      </c>
      <c r="BA394">
        <v>0</v>
      </c>
      <c r="BB394">
        <v>0</v>
      </c>
      <c r="BC394">
        <v>36634938.125</v>
      </c>
      <c r="BD394">
        <v>36680362.875</v>
      </c>
      <c r="BE394">
        <v>21684266.625</v>
      </c>
      <c r="BF394">
        <v>24351117.3125</v>
      </c>
      <c r="BG394">
        <v>24406709.25</v>
      </c>
      <c r="BH394">
        <v>0</v>
      </c>
      <c r="BI394">
        <v>0</v>
      </c>
      <c r="BJ394">
        <v>0</v>
      </c>
      <c r="BK394">
        <v>0</v>
      </c>
      <c r="BL394">
        <v>0</v>
      </c>
      <c r="BM394">
        <v>0</v>
      </c>
      <c r="BN394">
        <v>0</v>
      </c>
      <c r="BO394">
        <v>0</v>
      </c>
      <c r="BP394">
        <v>0</v>
      </c>
      <c r="BQ394">
        <v>0</v>
      </c>
      <c r="BR394">
        <v>0</v>
      </c>
      <c r="BS394">
        <v>0</v>
      </c>
      <c r="BT394">
        <v>0</v>
      </c>
      <c r="BU394">
        <v>0</v>
      </c>
      <c r="BV394">
        <v>0</v>
      </c>
      <c r="BW394">
        <v>0</v>
      </c>
    </row>
    <row r="395" spans="1:75" x14ac:dyDescent="0.55000000000000004">
      <c r="A395">
        <v>1076</v>
      </c>
      <c r="B395">
        <v>17.042999999999999</v>
      </c>
      <c r="C395">
        <v>832.62334999999996</v>
      </c>
      <c r="D395" t="s">
        <v>1280</v>
      </c>
      <c r="E395" t="s">
        <v>32</v>
      </c>
      <c r="F395" t="s">
        <v>2</v>
      </c>
      <c r="G395">
        <v>0.38</v>
      </c>
      <c r="H395" t="b">
        <v>1</v>
      </c>
      <c r="I395">
        <v>13.013999999999999</v>
      </c>
      <c r="J395">
        <v>832.62261999999998</v>
      </c>
      <c r="K395" t="s">
        <v>1281</v>
      </c>
      <c r="L395" t="s">
        <v>124</v>
      </c>
      <c r="N395" t="s">
        <v>1282</v>
      </c>
      <c r="O395" t="s">
        <v>1294</v>
      </c>
      <c r="P395">
        <v>410</v>
      </c>
      <c r="Q395" t="b">
        <v>0</v>
      </c>
      <c r="R395" t="b">
        <v>1</v>
      </c>
      <c r="S395" t="b">
        <v>1</v>
      </c>
      <c r="T395" t="s">
        <v>7</v>
      </c>
      <c r="U395" t="b">
        <v>0</v>
      </c>
      <c r="V395" t="b">
        <v>0</v>
      </c>
      <c r="W395">
        <v>1076</v>
      </c>
      <c r="X395">
        <v>0</v>
      </c>
      <c r="Y395">
        <v>0</v>
      </c>
      <c r="Z395">
        <v>0.99</v>
      </c>
      <c r="AA395">
        <v>0.47899999999999998</v>
      </c>
      <c r="AB395">
        <v>0.49399999999999999</v>
      </c>
      <c r="AC395">
        <v>0.89800000000000002</v>
      </c>
      <c r="AD395">
        <v>3</v>
      </c>
      <c r="AE395">
        <v>2</v>
      </c>
      <c r="AF395">
        <v>2.375</v>
      </c>
      <c r="AG395">
        <v>292.75</v>
      </c>
      <c r="AH395" t="s">
        <v>927</v>
      </c>
      <c r="AI395" t="s">
        <v>1284</v>
      </c>
      <c r="AJ395" t="s">
        <v>1285</v>
      </c>
      <c r="AK395">
        <v>13099</v>
      </c>
      <c r="AL395">
        <v>0</v>
      </c>
      <c r="AM395">
        <v>0</v>
      </c>
      <c r="AN395">
        <v>0</v>
      </c>
      <c r="AO395">
        <v>0</v>
      </c>
      <c r="AP395">
        <v>157056</v>
      </c>
      <c r="AQ395">
        <v>174332</v>
      </c>
      <c r="AR395">
        <v>92996</v>
      </c>
      <c r="AS395">
        <v>107286</v>
      </c>
      <c r="AT395">
        <v>99478</v>
      </c>
      <c r="AU395">
        <v>0</v>
      </c>
      <c r="AV395">
        <v>0</v>
      </c>
      <c r="AW395">
        <v>0</v>
      </c>
      <c r="AX395">
        <v>13099</v>
      </c>
      <c r="AY395">
        <v>0</v>
      </c>
      <c r="AZ395">
        <v>0</v>
      </c>
      <c r="BA395">
        <v>0</v>
      </c>
      <c r="BB395">
        <v>0</v>
      </c>
      <c r="BC395">
        <v>157056</v>
      </c>
      <c r="BD395">
        <v>174332.3125</v>
      </c>
      <c r="BE395">
        <v>92995.6875</v>
      </c>
      <c r="BF395">
        <v>107286</v>
      </c>
      <c r="BG395">
        <v>99477.5625</v>
      </c>
      <c r="BH395">
        <v>0</v>
      </c>
      <c r="BI395">
        <v>0</v>
      </c>
      <c r="BJ395">
        <v>0</v>
      </c>
      <c r="BK395">
        <v>0</v>
      </c>
      <c r="BL395">
        <v>0</v>
      </c>
      <c r="BM395">
        <v>0</v>
      </c>
      <c r="BN395">
        <v>0</v>
      </c>
      <c r="BO395">
        <v>0</v>
      </c>
      <c r="BP395">
        <v>0</v>
      </c>
      <c r="BQ395">
        <v>0</v>
      </c>
      <c r="BR395">
        <v>0</v>
      </c>
      <c r="BS395">
        <v>0</v>
      </c>
      <c r="BT395">
        <v>0</v>
      </c>
      <c r="BU395">
        <v>0</v>
      </c>
      <c r="BV395">
        <v>0</v>
      </c>
      <c r="BW395">
        <v>0</v>
      </c>
    </row>
    <row r="396" spans="1:75" x14ac:dyDescent="0.55000000000000004">
      <c r="A396">
        <v>1084</v>
      </c>
      <c r="B396">
        <v>12.035</v>
      </c>
      <c r="C396">
        <v>833.51769999999999</v>
      </c>
      <c r="D396" t="s">
        <v>1286</v>
      </c>
      <c r="E396" t="s">
        <v>32</v>
      </c>
      <c r="F396" t="s">
        <v>2</v>
      </c>
      <c r="G396">
        <v>0.46</v>
      </c>
      <c r="H396" t="b">
        <v>1</v>
      </c>
      <c r="I396">
        <v>8.1389999999999993</v>
      </c>
      <c r="J396">
        <v>833.51862000000006</v>
      </c>
      <c r="K396" t="s">
        <v>1287</v>
      </c>
      <c r="L396" t="s">
        <v>1024</v>
      </c>
      <c r="N396" t="s">
        <v>1288</v>
      </c>
      <c r="O396" t="s">
        <v>1299</v>
      </c>
      <c r="P396">
        <v>410</v>
      </c>
      <c r="Q396" t="b">
        <v>0</v>
      </c>
      <c r="R396" t="b">
        <v>1</v>
      </c>
      <c r="S396" t="b">
        <v>1</v>
      </c>
      <c r="T396" t="s">
        <v>7</v>
      </c>
      <c r="U396" t="b">
        <v>0</v>
      </c>
      <c r="V396" t="b">
        <v>0</v>
      </c>
      <c r="W396">
        <v>1084</v>
      </c>
      <c r="X396">
        <v>0</v>
      </c>
      <c r="Y396">
        <v>0</v>
      </c>
      <c r="Z396">
        <v>1</v>
      </c>
      <c r="AA396">
        <v>0.61099999999999999</v>
      </c>
      <c r="AB396">
        <v>0.70099999999999996</v>
      </c>
      <c r="AC396">
        <v>0.873</v>
      </c>
      <c r="AD396">
        <v>8</v>
      </c>
      <c r="AE396">
        <v>2</v>
      </c>
      <c r="AF396">
        <v>2.44</v>
      </c>
      <c r="AG396">
        <v>12444.36</v>
      </c>
      <c r="AH396" t="s">
        <v>454</v>
      </c>
      <c r="AI396" t="s">
        <v>1290</v>
      </c>
      <c r="AJ396" t="s">
        <v>1291</v>
      </c>
      <c r="AK396">
        <v>272343</v>
      </c>
      <c r="AL396">
        <v>0</v>
      </c>
      <c r="AM396">
        <v>0</v>
      </c>
      <c r="AN396">
        <v>0</v>
      </c>
      <c r="AO396">
        <v>0</v>
      </c>
      <c r="AP396">
        <v>4457798</v>
      </c>
      <c r="AQ396">
        <v>4675185</v>
      </c>
      <c r="AR396">
        <v>2144808</v>
      </c>
      <c r="AS396">
        <v>2562935</v>
      </c>
      <c r="AT396">
        <v>2675869</v>
      </c>
      <c r="AU396">
        <v>0</v>
      </c>
      <c r="AV396">
        <v>0</v>
      </c>
      <c r="AW396">
        <v>0</v>
      </c>
      <c r="AX396">
        <v>272343.25</v>
      </c>
      <c r="AY396">
        <v>0</v>
      </c>
      <c r="AZ396">
        <v>0</v>
      </c>
      <c r="BA396">
        <v>0</v>
      </c>
      <c r="BB396">
        <v>0</v>
      </c>
      <c r="BC396">
        <v>4457797.8125</v>
      </c>
      <c r="BD396">
        <v>4675184.75</v>
      </c>
      <c r="BE396">
        <v>2144808.4375</v>
      </c>
      <c r="BF396">
        <v>2562935.4375</v>
      </c>
      <c r="BG396">
        <v>2675869.375</v>
      </c>
      <c r="BH396">
        <v>0</v>
      </c>
      <c r="BI396">
        <v>0</v>
      </c>
      <c r="BJ396">
        <v>0</v>
      </c>
      <c r="BK396">
        <v>0</v>
      </c>
      <c r="BL396">
        <v>0</v>
      </c>
      <c r="BM396">
        <v>0</v>
      </c>
      <c r="BN396">
        <v>0</v>
      </c>
      <c r="BO396">
        <v>0</v>
      </c>
      <c r="BP396">
        <v>0</v>
      </c>
      <c r="BQ396">
        <v>0</v>
      </c>
      <c r="BR396">
        <v>0</v>
      </c>
      <c r="BS396">
        <v>0</v>
      </c>
      <c r="BT396">
        <v>0</v>
      </c>
      <c r="BU396">
        <v>0</v>
      </c>
      <c r="BV396">
        <v>0</v>
      </c>
      <c r="BW396">
        <v>0</v>
      </c>
    </row>
    <row r="397" spans="1:75" x14ac:dyDescent="0.55000000000000004">
      <c r="A397">
        <v>1100</v>
      </c>
      <c r="B397">
        <v>13.51</v>
      </c>
      <c r="C397">
        <v>834.56322999999998</v>
      </c>
      <c r="D397" t="s">
        <v>1292</v>
      </c>
      <c r="E397" t="s">
        <v>1</v>
      </c>
      <c r="F397" t="s">
        <v>2</v>
      </c>
      <c r="G397">
        <v>0.23</v>
      </c>
      <c r="H397" t="b">
        <v>1</v>
      </c>
      <c r="I397">
        <v>9.3580000000000005</v>
      </c>
      <c r="J397">
        <v>834.56542999999999</v>
      </c>
      <c r="K397" t="s">
        <v>790</v>
      </c>
      <c r="L397" t="s">
        <v>329</v>
      </c>
      <c r="N397" t="s">
        <v>1293</v>
      </c>
      <c r="O397" t="s">
        <v>1299</v>
      </c>
      <c r="P397">
        <v>410</v>
      </c>
      <c r="Q397" t="b">
        <v>0</v>
      </c>
      <c r="R397" t="b">
        <v>1</v>
      </c>
      <c r="S397" t="b">
        <v>1</v>
      </c>
      <c r="T397" t="s">
        <v>7</v>
      </c>
      <c r="U397" t="b">
        <v>0</v>
      </c>
      <c r="V397" t="b">
        <v>0</v>
      </c>
      <c r="W397">
        <v>1100</v>
      </c>
      <c r="X397">
        <v>0</v>
      </c>
      <c r="Y397">
        <v>0</v>
      </c>
      <c r="Z397">
        <v>0.99</v>
      </c>
      <c r="AA397">
        <v>0.57399999999999995</v>
      </c>
      <c r="AB397">
        <v>0.69399999999999995</v>
      </c>
      <c r="AC397">
        <v>0.93400000000000005</v>
      </c>
      <c r="AD397">
        <v>5</v>
      </c>
      <c r="AE397">
        <v>2</v>
      </c>
      <c r="AF397">
        <v>2.4550000000000001</v>
      </c>
      <c r="AG397">
        <v>2635.61</v>
      </c>
      <c r="AH397" t="s">
        <v>454</v>
      </c>
      <c r="AI397" t="s">
        <v>1295</v>
      </c>
      <c r="AJ397" t="s">
        <v>1296</v>
      </c>
      <c r="AK397">
        <v>130650</v>
      </c>
      <c r="AL397">
        <v>0</v>
      </c>
      <c r="AM397">
        <v>0</v>
      </c>
      <c r="AN397">
        <v>0</v>
      </c>
      <c r="AO397">
        <v>0</v>
      </c>
      <c r="AP397">
        <v>1155065</v>
      </c>
      <c r="AQ397">
        <v>0</v>
      </c>
      <c r="AR397">
        <v>657067</v>
      </c>
      <c r="AS397">
        <v>753383</v>
      </c>
      <c r="AT397">
        <v>742441</v>
      </c>
      <c r="AU397">
        <v>0</v>
      </c>
      <c r="AV397">
        <v>0</v>
      </c>
      <c r="AW397">
        <v>0</v>
      </c>
      <c r="AX397">
        <v>130649.5</v>
      </c>
      <c r="AY397">
        <v>0</v>
      </c>
      <c r="AZ397">
        <v>0</v>
      </c>
      <c r="BA397">
        <v>0</v>
      </c>
      <c r="BB397">
        <v>0</v>
      </c>
      <c r="BC397">
        <v>1155065.0625</v>
      </c>
      <c r="BD397">
        <v>0</v>
      </c>
      <c r="BE397">
        <v>657066.6875</v>
      </c>
      <c r="BF397">
        <v>753382.6875</v>
      </c>
      <c r="BG397">
        <v>742441.3125</v>
      </c>
      <c r="BH397">
        <v>0</v>
      </c>
      <c r="BI397">
        <v>0</v>
      </c>
      <c r="BJ397">
        <v>0</v>
      </c>
      <c r="BK397">
        <v>0</v>
      </c>
      <c r="BL397">
        <v>0</v>
      </c>
      <c r="BM397">
        <v>0</v>
      </c>
      <c r="BN397">
        <v>0</v>
      </c>
      <c r="BO397">
        <v>0</v>
      </c>
      <c r="BP397">
        <v>0</v>
      </c>
      <c r="BQ397">
        <v>0</v>
      </c>
      <c r="BR397">
        <v>0</v>
      </c>
      <c r="BS397">
        <v>0</v>
      </c>
      <c r="BT397">
        <v>0</v>
      </c>
      <c r="BU397">
        <v>0</v>
      </c>
      <c r="BV397">
        <v>0</v>
      </c>
      <c r="BW397">
        <v>0</v>
      </c>
    </row>
    <row r="398" spans="1:75" x14ac:dyDescent="0.55000000000000004">
      <c r="A398">
        <v>1101</v>
      </c>
      <c r="B398">
        <v>12.911</v>
      </c>
      <c r="C398">
        <v>834.56366000000003</v>
      </c>
      <c r="D398" t="s">
        <v>1297</v>
      </c>
      <c r="E398" t="s">
        <v>1</v>
      </c>
      <c r="F398" t="s">
        <v>2</v>
      </c>
      <c r="G398">
        <v>0.31</v>
      </c>
      <c r="H398" t="b">
        <v>1</v>
      </c>
      <c r="I398">
        <v>10.188000000000001</v>
      </c>
      <c r="J398">
        <v>834.56542999999999</v>
      </c>
      <c r="K398" t="s">
        <v>790</v>
      </c>
      <c r="L398" t="s">
        <v>329</v>
      </c>
      <c r="N398" t="s">
        <v>1298</v>
      </c>
      <c r="O398" t="s">
        <v>1307</v>
      </c>
      <c r="P398">
        <v>410</v>
      </c>
      <c r="Q398" t="b">
        <v>0</v>
      </c>
      <c r="R398" t="b">
        <v>1</v>
      </c>
      <c r="S398" t="b">
        <v>1</v>
      </c>
      <c r="T398" t="s">
        <v>7</v>
      </c>
      <c r="U398" t="b">
        <v>0</v>
      </c>
      <c r="V398" t="b">
        <v>0</v>
      </c>
      <c r="W398">
        <v>1101</v>
      </c>
      <c r="X398">
        <v>0</v>
      </c>
      <c r="Y398">
        <v>0</v>
      </c>
      <c r="Z398">
        <v>1</v>
      </c>
      <c r="AA398">
        <v>0.44</v>
      </c>
      <c r="AB398">
        <v>0.59599999999999997</v>
      </c>
      <c r="AC398">
        <v>0.83099999999999996</v>
      </c>
      <c r="AD398">
        <v>3</v>
      </c>
      <c r="AE398">
        <v>2</v>
      </c>
      <c r="AF398">
        <v>2.3639999999999999</v>
      </c>
      <c r="AG398">
        <v>279.45999999999998</v>
      </c>
      <c r="AH398" t="s">
        <v>927</v>
      </c>
      <c r="AI398" t="s">
        <v>1300</v>
      </c>
      <c r="AJ398" t="s">
        <v>1301</v>
      </c>
      <c r="AK398">
        <v>8104</v>
      </c>
      <c r="AL398">
        <v>0</v>
      </c>
      <c r="AM398">
        <v>0</v>
      </c>
      <c r="AN398">
        <v>0</v>
      </c>
      <c r="AO398">
        <v>0</v>
      </c>
      <c r="AP398">
        <v>71080</v>
      </c>
      <c r="AQ398">
        <v>73892</v>
      </c>
      <c r="AR398">
        <v>54806</v>
      </c>
      <c r="AS398">
        <v>59643</v>
      </c>
      <c r="AT398">
        <v>43581</v>
      </c>
      <c r="AU398">
        <v>0</v>
      </c>
      <c r="AV398">
        <v>0</v>
      </c>
      <c r="AW398">
        <v>0</v>
      </c>
      <c r="AX398">
        <v>8103.5</v>
      </c>
      <c r="AY398">
        <v>0</v>
      </c>
      <c r="AZ398">
        <v>0</v>
      </c>
      <c r="BA398">
        <v>0</v>
      </c>
      <c r="BB398">
        <v>0</v>
      </c>
      <c r="BC398">
        <v>71080.375</v>
      </c>
      <c r="BD398">
        <v>73891.8125</v>
      </c>
      <c r="BE398">
        <v>54806.1875</v>
      </c>
      <c r="BF398">
        <v>59643.25</v>
      </c>
      <c r="BG398">
        <v>43581.25</v>
      </c>
      <c r="BH398">
        <v>0</v>
      </c>
      <c r="BI398">
        <v>0</v>
      </c>
      <c r="BJ398">
        <v>0</v>
      </c>
      <c r="BK398">
        <v>0</v>
      </c>
      <c r="BL398">
        <v>0</v>
      </c>
      <c r="BM398">
        <v>0</v>
      </c>
      <c r="BN398">
        <v>0</v>
      </c>
      <c r="BO398">
        <v>0</v>
      </c>
      <c r="BP398">
        <v>0</v>
      </c>
      <c r="BQ398">
        <v>0</v>
      </c>
      <c r="BR398">
        <v>0</v>
      </c>
      <c r="BS398">
        <v>0</v>
      </c>
      <c r="BT398">
        <v>0</v>
      </c>
      <c r="BU398">
        <v>0</v>
      </c>
      <c r="BV398">
        <v>0</v>
      </c>
      <c r="BW398">
        <v>0</v>
      </c>
    </row>
    <row r="399" spans="1:75" x14ac:dyDescent="0.55000000000000004">
      <c r="A399">
        <v>1102</v>
      </c>
      <c r="B399">
        <v>12.798999999999999</v>
      </c>
      <c r="C399">
        <v>834.56457999999998</v>
      </c>
      <c r="D399" t="s">
        <v>1297</v>
      </c>
      <c r="E399" t="s">
        <v>1</v>
      </c>
      <c r="F399" t="s">
        <v>2</v>
      </c>
      <c r="G399">
        <v>0.23</v>
      </c>
      <c r="H399" t="b">
        <v>1</v>
      </c>
      <c r="I399">
        <v>10.188000000000001</v>
      </c>
      <c r="J399">
        <v>834.56542999999999</v>
      </c>
      <c r="K399" t="s">
        <v>790</v>
      </c>
      <c r="L399" t="s">
        <v>329</v>
      </c>
      <c r="N399" t="s">
        <v>1298</v>
      </c>
      <c r="O399" t="s">
        <v>1313</v>
      </c>
      <c r="P399">
        <v>410</v>
      </c>
      <c r="Q399" t="b">
        <v>0</v>
      </c>
      <c r="R399" t="b">
        <v>1</v>
      </c>
      <c r="S399" t="b">
        <v>1</v>
      </c>
      <c r="T399" t="s">
        <v>7</v>
      </c>
      <c r="U399" t="b">
        <v>0</v>
      </c>
      <c r="V399" t="b">
        <v>0</v>
      </c>
      <c r="W399">
        <v>1102</v>
      </c>
      <c r="X399">
        <v>0</v>
      </c>
      <c r="Y399">
        <v>0</v>
      </c>
      <c r="Z399">
        <v>1</v>
      </c>
      <c r="AA399">
        <v>0.41699999999999998</v>
      </c>
      <c r="AB399">
        <v>0.56000000000000005</v>
      </c>
      <c r="AC399">
        <v>0.83299999999999996</v>
      </c>
      <c r="AD399">
        <v>3</v>
      </c>
      <c r="AE399">
        <v>2</v>
      </c>
      <c r="AF399">
        <v>2.3519999999999999</v>
      </c>
      <c r="AG399">
        <v>347.56</v>
      </c>
      <c r="AH399" t="s">
        <v>944</v>
      </c>
      <c r="AI399" t="s">
        <v>1302</v>
      </c>
      <c r="AJ399" t="s">
        <v>1303</v>
      </c>
      <c r="AK399">
        <v>1391</v>
      </c>
      <c r="AL399">
        <v>0</v>
      </c>
      <c r="AM399">
        <v>0</v>
      </c>
      <c r="AN399">
        <v>0</v>
      </c>
      <c r="AO399">
        <v>0</v>
      </c>
      <c r="AP399">
        <v>98415</v>
      </c>
      <c r="AQ399">
        <v>102977</v>
      </c>
      <c r="AR399">
        <v>54806</v>
      </c>
      <c r="AS399">
        <v>59643</v>
      </c>
      <c r="AT399">
        <v>64939</v>
      </c>
      <c r="AU399">
        <v>0</v>
      </c>
      <c r="AV399">
        <v>0</v>
      </c>
      <c r="AW399">
        <v>0</v>
      </c>
      <c r="AX399">
        <v>1390.8125</v>
      </c>
      <c r="AY399">
        <v>0</v>
      </c>
      <c r="AZ399">
        <v>0</v>
      </c>
      <c r="BA399">
        <v>0</v>
      </c>
      <c r="BB399">
        <v>0</v>
      </c>
      <c r="BC399">
        <v>98415.0625</v>
      </c>
      <c r="BD399">
        <v>102976.625</v>
      </c>
      <c r="BE399">
        <v>54806.1875</v>
      </c>
      <c r="BF399">
        <v>59643.25</v>
      </c>
      <c r="BG399">
        <v>64939.125</v>
      </c>
      <c r="BH399">
        <v>0</v>
      </c>
      <c r="BI399">
        <v>0</v>
      </c>
      <c r="BJ399">
        <v>0</v>
      </c>
      <c r="BK399">
        <v>0</v>
      </c>
      <c r="BL399">
        <v>0</v>
      </c>
      <c r="BM399">
        <v>0</v>
      </c>
      <c r="BN399">
        <v>0</v>
      </c>
      <c r="BO399">
        <v>0</v>
      </c>
      <c r="BP399">
        <v>0</v>
      </c>
      <c r="BQ399">
        <v>0</v>
      </c>
      <c r="BR399">
        <v>0</v>
      </c>
      <c r="BS399">
        <v>0</v>
      </c>
      <c r="BT399">
        <v>0</v>
      </c>
      <c r="BU399">
        <v>0</v>
      </c>
      <c r="BV399">
        <v>0</v>
      </c>
      <c r="BW399">
        <v>0</v>
      </c>
    </row>
    <row r="400" spans="1:75" x14ac:dyDescent="0.55000000000000004">
      <c r="A400">
        <v>1104</v>
      </c>
      <c r="B400">
        <v>16.626999999999999</v>
      </c>
      <c r="C400">
        <v>834.62061000000006</v>
      </c>
      <c r="D400" t="s">
        <v>1304</v>
      </c>
      <c r="E400" t="s">
        <v>1</v>
      </c>
      <c r="F400" t="s">
        <v>2</v>
      </c>
      <c r="G400">
        <v>0.23</v>
      </c>
      <c r="H400" t="b">
        <v>1</v>
      </c>
      <c r="I400">
        <v>11.805</v>
      </c>
      <c r="J400">
        <v>834.62298999999996</v>
      </c>
      <c r="K400" t="s">
        <v>1305</v>
      </c>
      <c r="L400" t="s">
        <v>660</v>
      </c>
      <c r="N400" t="s">
        <v>1306</v>
      </c>
      <c r="O400" t="s">
        <v>1319</v>
      </c>
      <c r="P400">
        <v>410</v>
      </c>
      <c r="Q400" t="b">
        <v>0</v>
      </c>
      <c r="R400" t="b">
        <v>1</v>
      </c>
      <c r="S400" t="b">
        <v>1</v>
      </c>
      <c r="T400" t="s">
        <v>7</v>
      </c>
      <c r="U400" t="b">
        <v>0</v>
      </c>
      <c r="V400" t="b">
        <v>0</v>
      </c>
      <c r="W400">
        <v>1104</v>
      </c>
      <c r="X400">
        <v>0</v>
      </c>
      <c r="Y400">
        <v>0</v>
      </c>
      <c r="Z400">
        <v>0.99</v>
      </c>
      <c r="AA400">
        <v>0.63900000000000001</v>
      </c>
      <c r="AB400">
        <v>0.66</v>
      </c>
      <c r="AC400">
        <v>0.85399999999999998</v>
      </c>
      <c r="AD400">
        <v>6</v>
      </c>
      <c r="AE400">
        <v>2</v>
      </c>
      <c r="AF400">
        <v>2.427</v>
      </c>
      <c r="AG400">
        <v>586.28</v>
      </c>
      <c r="AH400" t="s">
        <v>927</v>
      </c>
      <c r="AI400" t="s">
        <v>1308</v>
      </c>
      <c r="AJ400" t="s">
        <v>1309</v>
      </c>
      <c r="AK400">
        <v>49252</v>
      </c>
      <c r="AL400">
        <v>0</v>
      </c>
      <c r="AM400">
        <v>0</v>
      </c>
      <c r="AN400">
        <v>0</v>
      </c>
      <c r="AO400">
        <v>0</v>
      </c>
      <c r="AP400">
        <v>400840</v>
      </c>
      <c r="AQ400">
        <v>384206</v>
      </c>
      <c r="AR400">
        <v>218417</v>
      </c>
      <c r="AS400">
        <v>259897</v>
      </c>
      <c r="AT400">
        <v>257076</v>
      </c>
      <c r="AU400">
        <v>0</v>
      </c>
      <c r="AV400">
        <v>0</v>
      </c>
      <c r="AW400">
        <v>0</v>
      </c>
      <c r="AX400">
        <v>49252.0625</v>
      </c>
      <c r="AY400">
        <v>0</v>
      </c>
      <c r="AZ400">
        <v>0</v>
      </c>
      <c r="BA400">
        <v>0</v>
      </c>
      <c r="BB400">
        <v>0</v>
      </c>
      <c r="BC400">
        <v>400840.1875</v>
      </c>
      <c r="BD400">
        <v>384206.25</v>
      </c>
      <c r="BE400">
        <v>218417.0625</v>
      </c>
      <c r="BF400">
        <v>259896.875</v>
      </c>
      <c r="BG400">
        <v>257076.375</v>
      </c>
      <c r="BH400">
        <v>0</v>
      </c>
      <c r="BI400">
        <v>0</v>
      </c>
      <c r="BJ400">
        <v>0</v>
      </c>
      <c r="BK400">
        <v>0</v>
      </c>
      <c r="BL400">
        <v>0</v>
      </c>
      <c r="BM400">
        <v>0</v>
      </c>
      <c r="BN400">
        <v>0</v>
      </c>
      <c r="BO400">
        <v>0</v>
      </c>
      <c r="BP400">
        <v>0</v>
      </c>
      <c r="BQ400">
        <v>0</v>
      </c>
      <c r="BR400">
        <v>0</v>
      </c>
      <c r="BS400">
        <v>0</v>
      </c>
      <c r="BT400">
        <v>0</v>
      </c>
      <c r="BU400">
        <v>0</v>
      </c>
      <c r="BV400">
        <v>0</v>
      </c>
      <c r="BW400">
        <v>0</v>
      </c>
    </row>
    <row r="401" spans="1:75" x14ac:dyDescent="0.55000000000000004">
      <c r="A401">
        <v>1106</v>
      </c>
      <c r="B401">
        <v>17.853999999999999</v>
      </c>
      <c r="C401">
        <v>834.63756999999998</v>
      </c>
      <c r="D401" t="s">
        <v>1310</v>
      </c>
      <c r="E401" t="s">
        <v>32</v>
      </c>
      <c r="F401" t="s">
        <v>2</v>
      </c>
      <c r="G401">
        <v>0.38</v>
      </c>
      <c r="H401" t="b">
        <v>1</v>
      </c>
      <c r="I401">
        <v>13.090999999999999</v>
      </c>
      <c r="J401">
        <v>834.63818000000003</v>
      </c>
      <c r="K401" t="s">
        <v>1311</v>
      </c>
      <c r="L401" t="s">
        <v>124</v>
      </c>
      <c r="N401" t="s">
        <v>1312</v>
      </c>
      <c r="O401" t="s">
        <v>1324</v>
      </c>
      <c r="P401">
        <v>410</v>
      </c>
      <c r="Q401" t="b">
        <v>0</v>
      </c>
      <c r="R401" t="b">
        <v>1</v>
      </c>
      <c r="S401" t="b">
        <v>1</v>
      </c>
      <c r="T401" t="s">
        <v>7</v>
      </c>
      <c r="U401" t="b">
        <v>0</v>
      </c>
      <c r="V401" t="b">
        <v>0</v>
      </c>
      <c r="W401">
        <v>1106</v>
      </c>
      <c r="X401">
        <v>0</v>
      </c>
      <c r="Y401">
        <v>0</v>
      </c>
      <c r="Z401">
        <v>0.99</v>
      </c>
      <c r="AA401">
        <v>0.51700000000000002</v>
      </c>
      <c r="AB401">
        <v>0.53100000000000003</v>
      </c>
      <c r="AC401">
        <v>0.88800000000000001</v>
      </c>
      <c r="AD401">
        <v>3</v>
      </c>
      <c r="AE401">
        <v>2</v>
      </c>
      <c r="AF401">
        <v>2.3879999999999999</v>
      </c>
      <c r="AG401">
        <v>106.74</v>
      </c>
      <c r="AH401" t="s">
        <v>1011</v>
      </c>
      <c r="AI401" t="s">
        <v>1314</v>
      </c>
      <c r="AJ401" t="s">
        <v>1315</v>
      </c>
      <c r="AK401">
        <v>4672</v>
      </c>
      <c r="AL401">
        <v>0</v>
      </c>
      <c r="AM401">
        <v>0</v>
      </c>
      <c r="AN401">
        <v>0</v>
      </c>
      <c r="AO401">
        <v>0</v>
      </c>
      <c r="AP401">
        <v>55577</v>
      </c>
      <c r="AQ401">
        <v>56540</v>
      </c>
      <c r="AR401">
        <v>31289</v>
      </c>
      <c r="AS401">
        <v>33180</v>
      </c>
      <c r="AT401">
        <v>35072</v>
      </c>
      <c r="AU401">
        <v>0</v>
      </c>
      <c r="AV401">
        <v>0</v>
      </c>
      <c r="AW401">
        <v>0</v>
      </c>
      <c r="AX401">
        <v>4671.75</v>
      </c>
      <c r="AY401">
        <v>0</v>
      </c>
      <c r="AZ401">
        <v>0</v>
      </c>
      <c r="BA401">
        <v>0</v>
      </c>
      <c r="BB401">
        <v>0</v>
      </c>
      <c r="BC401">
        <v>55576.75</v>
      </c>
      <c r="BD401">
        <v>56540.1875</v>
      </c>
      <c r="BE401">
        <v>31288.875</v>
      </c>
      <c r="BF401">
        <v>33180.125</v>
      </c>
      <c r="BG401">
        <v>35071.5</v>
      </c>
      <c r="BH401">
        <v>0</v>
      </c>
      <c r="BI401">
        <v>0</v>
      </c>
      <c r="BJ401">
        <v>0</v>
      </c>
      <c r="BK401">
        <v>0</v>
      </c>
      <c r="BL401">
        <v>0</v>
      </c>
      <c r="BM401">
        <v>0</v>
      </c>
      <c r="BN401">
        <v>0</v>
      </c>
      <c r="BO401">
        <v>0</v>
      </c>
      <c r="BP401">
        <v>0</v>
      </c>
      <c r="BQ401">
        <v>0</v>
      </c>
      <c r="BR401">
        <v>0</v>
      </c>
      <c r="BS401">
        <v>0</v>
      </c>
      <c r="BT401">
        <v>0</v>
      </c>
      <c r="BU401">
        <v>0</v>
      </c>
      <c r="BV401">
        <v>0</v>
      </c>
      <c r="BW401">
        <v>0</v>
      </c>
    </row>
    <row r="402" spans="1:75" x14ac:dyDescent="0.55000000000000004">
      <c r="A402">
        <v>1109</v>
      </c>
      <c r="B402">
        <v>13.226000000000001</v>
      </c>
      <c r="C402">
        <v>835.53259000000003</v>
      </c>
      <c r="D402" t="s">
        <v>1316</v>
      </c>
      <c r="E402" t="s">
        <v>32</v>
      </c>
      <c r="F402" t="s">
        <v>2</v>
      </c>
      <c r="G402">
        <v>0.23</v>
      </c>
      <c r="H402" t="b">
        <v>1</v>
      </c>
      <c r="I402">
        <v>8.4719999999999995</v>
      </c>
      <c r="J402">
        <v>835.53417999999999</v>
      </c>
      <c r="K402" t="s">
        <v>1317</v>
      </c>
      <c r="L402" t="s">
        <v>1024</v>
      </c>
      <c r="N402" t="s">
        <v>1318</v>
      </c>
      <c r="O402" t="s">
        <v>1330</v>
      </c>
      <c r="P402">
        <v>410</v>
      </c>
      <c r="Q402" t="b">
        <v>0</v>
      </c>
      <c r="R402" t="b">
        <v>1</v>
      </c>
      <c r="S402" t="b">
        <v>1</v>
      </c>
      <c r="T402" t="s">
        <v>7</v>
      </c>
      <c r="U402" t="b">
        <v>0</v>
      </c>
      <c r="V402" t="b">
        <v>0</v>
      </c>
      <c r="W402">
        <v>1109</v>
      </c>
      <c r="X402">
        <v>0</v>
      </c>
      <c r="Y402">
        <v>0</v>
      </c>
      <c r="Z402">
        <v>0.99</v>
      </c>
      <c r="AA402">
        <v>0.628</v>
      </c>
      <c r="AB402">
        <v>0.70599999999999996</v>
      </c>
      <c r="AC402">
        <v>0.871</v>
      </c>
      <c r="AD402">
        <v>8</v>
      </c>
      <c r="AE402">
        <v>2</v>
      </c>
      <c r="AF402">
        <v>2.44</v>
      </c>
      <c r="AG402">
        <v>6852.1</v>
      </c>
      <c r="AH402" t="s">
        <v>927</v>
      </c>
      <c r="AI402" t="s">
        <v>1320</v>
      </c>
      <c r="AJ402" t="s">
        <v>1321</v>
      </c>
      <c r="AK402">
        <v>265296</v>
      </c>
      <c r="AL402">
        <v>0</v>
      </c>
      <c r="AM402">
        <v>0</v>
      </c>
      <c r="AN402">
        <v>0</v>
      </c>
      <c r="AO402">
        <v>0</v>
      </c>
      <c r="AP402">
        <v>2573370</v>
      </c>
      <c r="AQ402">
        <v>2643314</v>
      </c>
      <c r="AR402">
        <v>1619402</v>
      </c>
      <c r="AS402">
        <v>1928874</v>
      </c>
      <c r="AT402">
        <v>1860948</v>
      </c>
      <c r="AU402">
        <v>0</v>
      </c>
      <c r="AV402">
        <v>0</v>
      </c>
      <c r="AW402">
        <v>0</v>
      </c>
      <c r="AX402">
        <v>265296.0625</v>
      </c>
      <c r="AY402">
        <v>0</v>
      </c>
      <c r="AZ402">
        <v>0</v>
      </c>
      <c r="BA402">
        <v>0</v>
      </c>
      <c r="BB402">
        <v>0</v>
      </c>
      <c r="BC402">
        <v>2573370.375</v>
      </c>
      <c r="BD402">
        <v>2643313.8125</v>
      </c>
      <c r="BE402">
        <v>1619402.5</v>
      </c>
      <c r="BF402">
        <v>1928874.25</v>
      </c>
      <c r="BG402">
        <v>1860948.25</v>
      </c>
      <c r="BH402">
        <v>0</v>
      </c>
      <c r="BI402">
        <v>0</v>
      </c>
      <c r="BJ402">
        <v>0</v>
      </c>
      <c r="BK402">
        <v>0</v>
      </c>
      <c r="BL402">
        <v>0</v>
      </c>
      <c r="BM402">
        <v>0</v>
      </c>
      <c r="BN402">
        <v>0</v>
      </c>
      <c r="BO402">
        <v>0</v>
      </c>
      <c r="BP402">
        <v>0</v>
      </c>
      <c r="BQ402">
        <v>0</v>
      </c>
      <c r="BR402">
        <v>0</v>
      </c>
      <c r="BS402">
        <v>0</v>
      </c>
      <c r="BT402">
        <v>0</v>
      </c>
      <c r="BU402">
        <v>0</v>
      </c>
      <c r="BV402">
        <v>0</v>
      </c>
      <c r="BW402">
        <v>0</v>
      </c>
    </row>
    <row r="403" spans="1:75" x14ac:dyDescent="0.55000000000000004">
      <c r="A403">
        <v>1119</v>
      </c>
      <c r="B403">
        <v>12.103</v>
      </c>
      <c r="C403">
        <v>836.54345999999998</v>
      </c>
      <c r="D403" t="s">
        <v>1322</v>
      </c>
      <c r="E403" t="s">
        <v>1</v>
      </c>
      <c r="F403" t="s">
        <v>2</v>
      </c>
      <c r="G403">
        <v>0.23</v>
      </c>
      <c r="H403" t="b">
        <v>1</v>
      </c>
      <c r="I403">
        <v>8.766</v>
      </c>
      <c r="J403">
        <v>836.54467999999997</v>
      </c>
      <c r="K403" t="s">
        <v>814</v>
      </c>
      <c r="L403" t="s">
        <v>660</v>
      </c>
      <c r="N403" t="s">
        <v>1323</v>
      </c>
      <c r="O403" t="s">
        <v>1335</v>
      </c>
      <c r="P403">
        <v>410</v>
      </c>
      <c r="Q403" t="b">
        <v>0</v>
      </c>
      <c r="R403" t="b">
        <v>1</v>
      </c>
      <c r="S403" t="b">
        <v>1</v>
      </c>
      <c r="T403" t="s">
        <v>7</v>
      </c>
      <c r="U403" t="b">
        <v>0</v>
      </c>
      <c r="V403" t="b">
        <v>0</v>
      </c>
      <c r="W403">
        <v>1119</v>
      </c>
      <c r="X403">
        <v>0</v>
      </c>
      <c r="Y403">
        <v>0</v>
      </c>
      <c r="Z403">
        <v>0.99</v>
      </c>
      <c r="AA403">
        <v>0.60399999999999998</v>
      </c>
      <c r="AB403">
        <v>0.70499999999999996</v>
      </c>
      <c r="AC403">
        <v>0.876</v>
      </c>
      <c r="AD403">
        <v>6</v>
      </c>
      <c r="AE403">
        <v>2</v>
      </c>
      <c r="AF403">
        <v>2.4359999999999999</v>
      </c>
      <c r="AG403">
        <v>1517.13</v>
      </c>
      <c r="AH403" t="s">
        <v>990</v>
      </c>
      <c r="AI403" t="s">
        <v>1325</v>
      </c>
      <c r="AJ403" t="s">
        <v>1326</v>
      </c>
      <c r="AK403">
        <v>0</v>
      </c>
      <c r="AL403">
        <v>0</v>
      </c>
      <c r="AM403">
        <v>0</v>
      </c>
      <c r="AN403">
        <v>0</v>
      </c>
      <c r="AO403">
        <v>0</v>
      </c>
      <c r="AP403">
        <v>433561</v>
      </c>
      <c r="AQ403">
        <v>438740</v>
      </c>
      <c r="AR403">
        <v>199003</v>
      </c>
      <c r="AS403">
        <v>234385</v>
      </c>
      <c r="AT403">
        <v>240059</v>
      </c>
      <c r="AU403">
        <v>0</v>
      </c>
      <c r="AV403">
        <v>0</v>
      </c>
      <c r="AW403">
        <v>0</v>
      </c>
      <c r="AX403">
        <v>0</v>
      </c>
      <c r="AY403">
        <v>0</v>
      </c>
      <c r="AZ403">
        <v>0</v>
      </c>
      <c r="BA403">
        <v>0</v>
      </c>
      <c r="BB403">
        <v>0</v>
      </c>
      <c r="BC403">
        <v>433561.125</v>
      </c>
      <c r="BD403">
        <v>438740.25</v>
      </c>
      <c r="BE403">
        <v>199002.625</v>
      </c>
      <c r="BF403">
        <v>234385.3125</v>
      </c>
      <c r="BG403">
        <v>240058.9375</v>
      </c>
      <c r="BH403">
        <v>0</v>
      </c>
      <c r="BI403">
        <v>0</v>
      </c>
      <c r="BJ403">
        <v>0</v>
      </c>
      <c r="BK403">
        <v>0</v>
      </c>
      <c r="BL403">
        <v>0</v>
      </c>
      <c r="BM403">
        <v>0</v>
      </c>
      <c r="BN403">
        <v>0</v>
      </c>
      <c r="BO403">
        <v>0</v>
      </c>
      <c r="BP403">
        <v>0</v>
      </c>
      <c r="BQ403">
        <v>0</v>
      </c>
      <c r="BR403">
        <v>0</v>
      </c>
      <c r="BS403">
        <v>0</v>
      </c>
      <c r="BT403">
        <v>0</v>
      </c>
      <c r="BU403">
        <v>0</v>
      </c>
      <c r="BV403">
        <v>0</v>
      </c>
      <c r="BW403">
        <v>0</v>
      </c>
    </row>
    <row r="404" spans="1:75" x14ac:dyDescent="0.55000000000000004">
      <c r="A404">
        <v>1122</v>
      </c>
      <c r="B404">
        <v>13.861000000000001</v>
      </c>
      <c r="C404">
        <v>836.57781999999997</v>
      </c>
      <c r="D404" t="s">
        <v>1327</v>
      </c>
      <c r="E404" t="s">
        <v>1</v>
      </c>
      <c r="F404" t="s">
        <v>2</v>
      </c>
      <c r="G404">
        <v>0.31</v>
      </c>
      <c r="H404" t="b">
        <v>1</v>
      </c>
      <c r="I404">
        <v>9.4529999999999994</v>
      </c>
      <c r="J404">
        <v>836.58112000000006</v>
      </c>
      <c r="K404" t="s">
        <v>1328</v>
      </c>
      <c r="L404" t="s">
        <v>329</v>
      </c>
      <c r="N404" t="s">
        <v>1329</v>
      </c>
      <c r="O404" t="s">
        <v>1335</v>
      </c>
      <c r="P404">
        <v>410</v>
      </c>
      <c r="Q404" t="b">
        <v>0</v>
      </c>
      <c r="R404" t="b">
        <v>1</v>
      </c>
      <c r="S404" t="b">
        <v>1</v>
      </c>
      <c r="T404" t="s">
        <v>7</v>
      </c>
      <c r="U404" t="b">
        <v>0</v>
      </c>
      <c r="V404" t="b">
        <v>0</v>
      </c>
      <c r="W404">
        <v>1122</v>
      </c>
      <c r="X404">
        <v>0</v>
      </c>
      <c r="Y404">
        <v>0</v>
      </c>
      <c r="Z404">
        <v>0.98</v>
      </c>
      <c r="AA404">
        <v>0.51100000000000001</v>
      </c>
      <c r="AB404">
        <v>0.68700000000000006</v>
      </c>
      <c r="AC404">
        <v>0.88600000000000001</v>
      </c>
      <c r="AD404">
        <v>4</v>
      </c>
      <c r="AE404">
        <v>2</v>
      </c>
      <c r="AF404">
        <v>2.4119999999999999</v>
      </c>
      <c r="AG404">
        <v>3142.29</v>
      </c>
      <c r="AH404" t="s">
        <v>454</v>
      </c>
      <c r="AI404" t="s">
        <v>1331</v>
      </c>
      <c r="AJ404" t="s">
        <v>1332</v>
      </c>
      <c r="AK404">
        <v>172815</v>
      </c>
      <c r="AL404">
        <v>0</v>
      </c>
      <c r="AM404">
        <v>0</v>
      </c>
      <c r="AN404">
        <v>0</v>
      </c>
      <c r="AO404">
        <v>0</v>
      </c>
      <c r="AP404">
        <v>1994743</v>
      </c>
      <c r="AQ404">
        <v>2022686</v>
      </c>
      <c r="AR404">
        <v>1274638</v>
      </c>
      <c r="AS404">
        <v>1419604</v>
      </c>
      <c r="AT404">
        <v>1367120</v>
      </c>
      <c r="AU404">
        <v>0</v>
      </c>
      <c r="AV404">
        <v>0</v>
      </c>
      <c r="AW404">
        <v>0</v>
      </c>
      <c r="AX404">
        <v>172814.5625</v>
      </c>
      <c r="AY404">
        <v>0</v>
      </c>
      <c r="AZ404">
        <v>0</v>
      </c>
      <c r="BA404">
        <v>0</v>
      </c>
      <c r="BB404">
        <v>0</v>
      </c>
      <c r="BC404">
        <v>1994743.4375</v>
      </c>
      <c r="BD404">
        <v>2022686.5</v>
      </c>
      <c r="BE404">
        <v>1274637.875</v>
      </c>
      <c r="BF404">
        <v>1419604.3125</v>
      </c>
      <c r="BG404">
        <v>1367120.0625</v>
      </c>
      <c r="BH404">
        <v>0</v>
      </c>
      <c r="BI404">
        <v>0</v>
      </c>
      <c r="BJ404">
        <v>0</v>
      </c>
      <c r="BK404">
        <v>0</v>
      </c>
      <c r="BL404">
        <v>0</v>
      </c>
      <c r="BM404">
        <v>0</v>
      </c>
      <c r="BN404">
        <v>0</v>
      </c>
      <c r="BO404">
        <v>0</v>
      </c>
      <c r="BP404">
        <v>0</v>
      </c>
      <c r="BQ404">
        <v>0</v>
      </c>
      <c r="BR404">
        <v>0</v>
      </c>
      <c r="BS404">
        <v>0</v>
      </c>
      <c r="BT404">
        <v>0</v>
      </c>
      <c r="BU404">
        <v>0</v>
      </c>
      <c r="BV404">
        <v>0</v>
      </c>
      <c r="BW404">
        <v>0</v>
      </c>
    </row>
    <row r="405" spans="1:75" x14ac:dyDescent="0.55000000000000004">
      <c r="A405">
        <v>1123</v>
      </c>
      <c r="B405">
        <v>13.968</v>
      </c>
      <c r="C405">
        <v>836.57806000000005</v>
      </c>
      <c r="D405" t="s">
        <v>1333</v>
      </c>
      <c r="E405" t="s">
        <v>1</v>
      </c>
      <c r="F405" t="s">
        <v>2</v>
      </c>
      <c r="G405">
        <v>0.23</v>
      </c>
      <c r="H405" t="b">
        <v>1</v>
      </c>
      <c r="I405">
        <v>9.6920000000000002</v>
      </c>
      <c r="J405">
        <v>836.58112000000006</v>
      </c>
      <c r="K405" t="s">
        <v>1328</v>
      </c>
      <c r="L405" t="s">
        <v>329</v>
      </c>
      <c r="N405" t="s">
        <v>1334</v>
      </c>
      <c r="O405" t="s">
        <v>1342</v>
      </c>
      <c r="P405">
        <v>410</v>
      </c>
      <c r="Q405" t="b">
        <v>0</v>
      </c>
      <c r="R405" t="b">
        <v>1</v>
      </c>
      <c r="S405" t="b">
        <v>1</v>
      </c>
      <c r="T405" t="s">
        <v>7</v>
      </c>
      <c r="U405" t="b">
        <v>0</v>
      </c>
      <c r="V405" t="b">
        <v>0</v>
      </c>
      <c r="W405">
        <v>1123</v>
      </c>
      <c r="X405">
        <v>0</v>
      </c>
      <c r="Y405">
        <v>0</v>
      </c>
      <c r="Z405">
        <v>0.94</v>
      </c>
      <c r="AA405">
        <v>0.55600000000000005</v>
      </c>
      <c r="AB405">
        <v>0.71099999999999997</v>
      </c>
      <c r="AC405">
        <v>0.86799999999999999</v>
      </c>
      <c r="AD405">
        <v>4</v>
      </c>
      <c r="AE405">
        <v>2</v>
      </c>
      <c r="AF405">
        <v>2.4009999999999998</v>
      </c>
      <c r="AG405">
        <v>3007.12</v>
      </c>
      <c r="AH405" t="s">
        <v>927</v>
      </c>
      <c r="AI405" t="s">
        <v>1336</v>
      </c>
      <c r="AJ405" t="s">
        <v>1337</v>
      </c>
      <c r="AK405">
        <v>302081</v>
      </c>
      <c r="AL405">
        <v>0</v>
      </c>
      <c r="AM405">
        <v>0</v>
      </c>
      <c r="AN405">
        <v>0</v>
      </c>
      <c r="AO405">
        <v>0</v>
      </c>
      <c r="AP405">
        <v>1994743</v>
      </c>
      <c r="AQ405">
        <v>2022686</v>
      </c>
      <c r="AR405">
        <v>1274638</v>
      </c>
      <c r="AS405">
        <v>1419604</v>
      </c>
      <c r="AT405">
        <v>1367120</v>
      </c>
      <c r="AU405">
        <v>0</v>
      </c>
      <c r="AV405">
        <v>0</v>
      </c>
      <c r="AW405">
        <v>0</v>
      </c>
      <c r="AX405">
        <v>302081.4375</v>
      </c>
      <c r="AY405">
        <v>0</v>
      </c>
      <c r="AZ405">
        <v>0</v>
      </c>
      <c r="BA405">
        <v>0</v>
      </c>
      <c r="BB405">
        <v>0</v>
      </c>
      <c r="BC405">
        <v>1994743.4375</v>
      </c>
      <c r="BD405">
        <v>2022686.5</v>
      </c>
      <c r="BE405">
        <v>1274637.875</v>
      </c>
      <c r="BF405">
        <v>1419604.3125</v>
      </c>
      <c r="BG405">
        <v>1367120.0625</v>
      </c>
      <c r="BH405">
        <v>0</v>
      </c>
      <c r="BI405">
        <v>0</v>
      </c>
      <c r="BJ405">
        <v>0</v>
      </c>
      <c r="BK405">
        <v>0</v>
      </c>
      <c r="BL405">
        <v>0</v>
      </c>
      <c r="BM405">
        <v>0</v>
      </c>
      <c r="BN405">
        <v>0</v>
      </c>
      <c r="BO405">
        <v>0</v>
      </c>
      <c r="BP405">
        <v>0</v>
      </c>
      <c r="BQ405">
        <v>0</v>
      </c>
      <c r="BR405">
        <v>0</v>
      </c>
      <c r="BS405">
        <v>0</v>
      </c>
      <c r="BT405">
        <v>0</v>
      </c>
      <c r="BU405">
        <v>0</v>
      </c>
      <c r="BV405">
        <v>0</v>
      </c>
      <c r="BW405">
        <v>0</v>
      </c>
    </row>
    <row r="406" spans="1:75" x14ac:dyDescent="0.55000000000000004">
      <c r="A406">
        <v>1125</v>
      </c>
      <c r="B406">
        <v>13.023</v>
      </c>
      <c r="C406">
        <v>836.57885999999996</v>
      </c>
      <c r="D406" t="s">
        <v>1333</v>
      </c>
      <c r="E406" t="s">
        <v>1</v>
      </c>
      <c r="F406" t="s">
        <v>2</v>
      </c>
      <c r="G406">
        <v>0.38</v>
      </c>
      <c r="H406" t="b">
        <v>1</v>
      </c>
      <c r="I406">
        <v>9.6920000000000002</v>
      </c>
      <c r="J406">
        <v>836.58112000000006</v>
      </c>
      <c r="K406" t="s">
        <v>1328</v>
      </c>
      <c r="L406" t="s">
        <v>329</v>
      </c>
      <c r="N406" t="s">
        <v>1334</v>
      </c>
      <c r="O406" t="s">
        <v>1347</v>
      </c>
      <c r="P406">
        <v>410</v>
      </c>
      <c r="Q406" t="b">
        <v>0</v>
      </c>
      <c r="R406" t="b">
        <v>1</v>
      </c>
      <c r="S406" t="b">
        <v>1</v>
      </c>
      <c r="T406" t="s">
        <v>7</v>
      </c>
      <c r="U406" t="b">
        <v>0</v>
      </c>
      <c r="V406" t="b">
        <v>0</v>
      </c>
      <c r="W406">
        <v>1125</v>
      </c>
      <c r="X406">
        <v>0</v>
      </c>
      <c r="Y406">
        <v>0</v>
      </c>
      <c r="Z406">
        <v>0.96</v>
      </c>
      <c r="AA406">
        <v>0.51400000000000001</v>
      </c>
      <c r="AB406">
        <v>0.59699999999999998</v>
      </c>
      <c r="AC406">
        <v>0.93100000000000005</v>
      </c>
      <c r="AD406">
        <v>5</v>
      </c>
      <c r="AE406">
        <v>2</v>
      </c>
      <c r="AF406">
        <v>2.4039999999999999</v>
      </c>
      <c r="AG406">
        <v>519.23</v>
      </c>
      <c r="AH406" t="s">
        <v>927</v>
      </c>
      <c r="AI406" t="s">
        <v>1338</v>
      </c>
      <c r="AJ406" t="s">
        <v>1339</v>
      </c>
      <c r="AK406">
        <v>17530</v>
      </c>
      <c r="AL406">
        <v>0</v>
      </c>
      <c r="AM406">
        <v>0</v>
      </c>
      <c r="AN406">
        <v>0</v>
      </c>
      <c r="AO406">
        <v>0</v>
      </c>
      <c r="AP406">
        <v>266335</v>
      </c>
      <c r="AQ406">
        <v>267260</v>
      </c>
      <c r="AR406">
        <v>121199</v>
      </c>
      <c r="AS406">
        <v>151306</v>
      </c>
      <c r="AT406">
        <v>151148</v>
      </c>
      <c r="AU406">
        <v>0</v>
      </c>
      <c r="AV406">
        <v>0</v>
      </c>
      <c r="AW406">
        <v>0</v>
      </c>
      <c r="AX406">
        <v>17530</v>
      </c>
      <c r="AY406">
        <v>0</v>
      </c>
      <c r="AZ406">
        <v>0</v>
      </c>
      <c r="BA406">
        <v>0</v>
      </c>
      <c r="BB406">
        <v>0</v>
      </c>
      <c r="BC406">
        <v>266335.1875</v>
      </c>
      <c r="BD406">
        <v>267259.8125</v>
      </c>
      <c r="BE406">
        <v>121199.4375</v>
      </c>
      <c r="BF406">
        <v>151306.25</v>
      </c>
      <c r="BG406">
        <v>151148.125</v>
      </c>
      <c r="BH406">
        <v>0</v>
      </c>
      <c r="BI406">
        <v>0</v>
      </c>
      <c r="BJ406">
        <v>0</v>
      </c>
      <c r="BK406">
        <v>0</v>
      </c>
      <c r="BL406">
        <v>0</v>
      </c>
      <c r="BM406">
        <v>0</v>
      </c>
      <c r="BN406">
        <v>0</v>
      </c>
      <c r="BO406">
        <v>0</v>
      </c>
      <c r="BP406">
        <v>0</v>
      </c>
      <c r="BQ406">
        <v>0</v>
      </c>
      <c r="BR406">
        <v>0</v>
      </c>
      <c r="BS406">
        <v>0</v>
      </c>
      <c r="BT406">
        <v>0</v>
      </c>
      <c r="BU406">
        <v>0</v>
      </c>
      <c r="BV406">
        <v>0</v>
      </c>
      <c r="BW406">
        <v>0</v>
      </c>
    </row>
    <row r="407" spans="1:75" x14ac:dyDescent="0.55000000000000004">
      <c r="A407">
        <v>1126</v>
      </c>
      <c r="B407">
        <v>14.343</v>
      </c>
      <c r="C407">
        <v>836.57910000000004</v>
      </c>
      <c r="D407" t="s">
        <v>1340</v>
      </c>
      <c r="E407" t="s">
        <v>1</v>
      </c>
      <c r="F407" t="s">
        <v>2</v>
      </c>
      <c r="G407">
        <v>0.38</v>
      </c>
      <c r="H407" t="b">
        <v>1</v>
      </c>
      <c r="I407">
        <v>9.8629999999999995</v>
      </c>
      <c r="J407">
        <v>836.58112000000006</v>
      </c>
      <c r="K407" t="s">
        <v>1328</v>
      </c>
      <c r="L407" t="s">
        <v>329</v>
      </c>
      <c r="N407" t="s">
        <v>1341</v>
      </c>
      <c r="O407" t="s">
        <v>1353</v>
      </c>
      <c r="P407">
        <v>410</v>
      </c>
      <c r="Q407" t="b">
        <v>0</v>
      </c>
      <c r="R407" t="b">
        <v>1</v>
      </c>
      <c r="S407" t="b">
        <v>1</v>
      </c>
      <c r="T407" t="s">
        <v>7</v>
      </c>
      <c r="U407" t="b">
        <v>0</v>
      </c>
      <c r="V407" t="b">
        <v>0</v>
      </c>
      <c r="W407">
        <v>1126</v>
      </c>
      <c r="X407">
        <v>0</v>
      </c>
      <c r="Y407">
        <v>0</v>
      </c>
      <c r="Z407">
        <v>0.98</v>
      </c>
      <c r="AA407">
        <v>0.38600000000000001</v>
      </c>
      <c r="AB407">
        <v>0.56299999999999994</v>
      </c>
      <c r="AC407">
        <v>0.84399999999999997</v>
      </c>
      <c r="AD407">
        <v>3</v>
      </c>
      <c r="AE407">
        <v>2</v>
      </c>
      <c r="AF407">
        <v>2.34</v>
      </c>
      <c r="AG407">
        <v>738.66</v>
      </c>
      <c r="AH407" t="s">
        <v>1011</v>
      </c>
      <c r="AI407" t="s">
        <v>1343</v>
      </c>
      <c r="AJ407" t="s">
        <v>1344</v>
      </c>
      <c r="AK407">
        <v>31436</v>
      </c>
      <c r="AL407">
        <v>0</v>
      </c>
      <c r="AM407">
        <v>0</v>
      </c>
      <c r="AN407">
        <v>0</v>
      </c>
      <c r="AO407">
        <v>0</v>
      </c>
      <c r="AP407">
        <v>380559</v>
      </c>
      <c r="AQ407">
        <v>386601</v>
      </c>
      <c r="AR407">
        <v>198781</v>
      </c>
      <c r="AS407">
        <v>230177</v>
      </c>
      <c r="AT407">
        <v>225890</v>
      </c>
      <c r="AU407">
        <v>0</v>
      </c>
      <c r="AV407">
        <v>0</v>
      </c>
      <c r="AW407">
        <v>0</v>
      </c>
      <c r="AX407">
        <v>31436.1875</v>
      </c>
      <c r="AY407">
        <v>0</v>
      </c>
      <c r="AZ407">
        <v>0</v>
      </c>
      <c r="BA407">
        <v>0</v>
      </c>
      <c r="BB407">
        <v>0</v>
      </c>
      <c r="BC407">
        <v>380559.375</v>
      </c>
      <c r="BD407">
        <v>386600.8125</v>
      </c>
      <c r="BE407">
        <v>198780.75</v>
      </c>
      <c r="BF407">
        <v>230177.3125</v>
      </c>
      <c r="BG407">
        <v>225890.375</v>
      </c>
      <c r="BH407">
        <v>0</v>
      </c>
      <c r="BI407">
        <v>0</v>
      </c>
      <c r="BJ407">
        <v>0</v>
      </c>
      <c r="BK407">
        <v>0</v>
      </c>
      <c r="BL407">
        <v>0</v>
      </c>
      <c r="BM407">
        <v>0</v>
      </c>
      <c r="BN407">
        <v>0</v>
      </c>
      <c r="BO407">
        <v>0</v>
      </c>
      <c r="BP407">
        <v>0</v>
      </c>
      <c r="BQ407">
        <v>0</v>
      </c>
      <c r="BR407">
        <v>0</v>
      </c>
      <c r="BS407">
        <v>0</v>
      </c>
      <c r="BT407">
        <v>0</v>
      </c>
      <c r="BU407">
        <v>0</v>
      </c>
      <c r="BV407">
        <v>0</v>
      </c>
      <c r="BW407">
        <v>0</v>
      </c>
    </row>
    <row r="408" spans="1:75" x14ac:dyDescent="0.55000000000000004">
      <c r="A408">
        <v>1135</v>
      </c>
      <c r="B408">
        <v>12.705</v>
      </c>
      <c r="C408">
        <v>838.55871999999999</v>
      </c>
      <c r="D408" t="s">
        <v>1345</v>
      </c>
      <c r="E408" t="s">
        <v>1</v>
      </c>
      <c r="F408" t="s">
        <v>2</v>
      </c>
      <c r="G408">
        <v>0.15</v>
      </c>
      <c r="H408" t="b">
        <v>1</v>
      </c>
      <c r="I408">
        <v>8.9700000000000006</v>
      </c>
      <c r="J408">
        <v>838.56042000000002</v>
      </c>
      <c r="K408" t="s">
        <v>847</v>
      </c>
      <c r="L408" t="s">
        <v>660</v>
      </c>
      <c r="N408" t="s">
        <v>1346</v>
      </c>
      <c r="O408" t="s">
        <v>1353</v>
      </c>
      <c r="P408">
        <v>410</v>
      </c>
      <c r="Q408" t="b">
        <v>0</v>
      </c>
      <c r="R408" t="b">
        <v>1</v>
      </c>
      <c r="S408" t="b">
        <v>1</v>
      </c>
      <c r="T408" t="s">
        <v>7</v>
      </c>
      <c r="U408" t="b">
        <v>0</v>
      </c>
      <c r="V408" t="b">
        <v>0</v>
      </c>
      <c r="W408">
        <v>1135</v>
      </c>
      <c r="X408">
        <v>0</v>
      </c>
      <c r="Y408">
        <v>0</v>
      </c>
      <c r="Z408">
        <v>0.99</v>
      </c>
      <c r="AA408">
        <v>0.32500000000000001</v>
      </c>
      <c r="AB408">
        <v>0.442</v>
      </c>
      <c r="AC408">
        <v>0.84699999999999998</v>
      </c>
      <c r="AD408">
        <v>4</v>
      </c>
      <c r="AE408">
        <v>2</v>
      </c>
      <c r="AF408">
        <v>2.306</v>
      </c>
      <c r="AG408">
        <v>470.78</v>
      </c>
      <c r="AH408" t="s">
        <v>927</v>
      </c>
      <c r="AI408" t="s">
        <v>1348</v>
      </c>
      <c r="AJ408" t="s">
        <v>1349</v>
      </c>
      <c r="AK408">
        <v>13191</v>
      </c>
      <c r="AL408">
        <v>0</v>
      </c>
      <c r="AM408">
        <v>0</v>
      </c>
      <c r="AN408">
        <v>0</v>
      </c>
      <c r="AO408">
        <v>0</v>
      </c>
      <c r="AP408">
        <v>224611</v>
      </c>
      <c r="AQ408">
        <v>118758</v>
      </c>
      <c r="AR408">
        <v>103337</v>
      </c>
      <c r="AS408">
        <v>124468</v>
      </c>
      <c r="AT408">
        <v>122470</v>
      </c>
      <c r="AU408">
        <v>0</v>
      </c>
      <c r="AV408">
        <v>0</v>
      </c>
      <c r="AW408">
        <v>0</v>
      </c>
      <c r="AX408">
        <v>13191</v>
      </c>
      <c r="AY408">
        <v>0</v>
      </c>
      <c r="AZ408">
        <v>0</v>
      </c>
      <c r="BA408">
        <v>0</v>
      </c>
      <c r="BB408">
        <v>0</v>
      </c>
      <c r="BC408">
        <v>224610.625</v>
      </c>
      <c r="BD408">
        <v>118757.8125</v>
      </c>
      <c r="BE408">
        <v>103337.125</v>
      </c>
      <c r="BF408">
        <v>124467.5625</v>
      </c>
      <c r="BG408">
        <v>122470.25</v>
      </c>
      <c r="BH408">
        <v>0</v>
      </c>
      <c r="BI408">
        <v>0</v>
      </c>
      <c r="BJ408">
        <v>0</v>
      </c>
      <c r="BK408">
        <v>0</v>
      </c>
      <c r="BL408">
        <v>0</v>
      </c>
      <c r="BM408">
        <v>0</v>
      </c>
      <c r="BN408">
        <v>0</v>
      </c>
      <c r="BO408">
        <v>0</v>
      </c>
      <c r="BP408">
        <v>0</v>
      </c>
      <c r="BQ408">
        <v>0</v>
      </c>
      <c r="BR408">
        <v>0</v>
      </c>
      <c r="BS408">
        <v>0</v>
      </c>
      <c r="BT408">
        <v>0</v>
      </c>
      <c r="BU408">
        <v>0</v>
      </c>
      <c r="BV408">
        <v>0</v>
      </c>
      <c r="BW408">
        <v>0</v>
      </c>
    </row>
    <row r="409" spans="1:75" x14ac:dyDescent="0.55000000000000004">
      <c r="A409">
        <v>1139</v>
      </c>
      <c r="B409">
        <v>14.795</v>
      </c>
      <c r="C409">
        <v>838.59387000000004</v>
      </c>
      <c r="D409" t="s">
        <v>1350</v>
      </c>
      <c r="E409" t="s">
        <v>1</v>
      </c>
      <c r="F409" t="s">
        <v>2</v>
      </c>
      <c r="G409">
        <v>0.23</v>
      </c>
      <c r="H409" t="b">
        <v>1</v>
      </c>
      <c r="I409">
        <v>10.38</v>
      </c>
      <c r="J409">
        <v>838.59667999999999</v>
      </c>
      <c r="K409" t="s">
        <v>1351</v>
      </c>
      <c r="L409" t="s">
        <v>329</v>
      </c>
      <c r="N409" t="s">
        <v>1352</v>
      </c>
      <c r="O409" t="s">
        <v>1360</v>
      </c>
      <c r="P409">
        <v>410</v>
      </c>
      <c r="Q409" t="b">
        <v>0</v>
      </c>
      <c r="R409" t="b">
        <v>1</v>
      </c>
      <c r="S409" t="b">
        <v>1</v>
      </c>
      <c r="T409" t="s">
        <v>7</v>
      </c>
      <c r="U409" t="b">
        <v>0</v>
      </c>
      <c r="V409" t="b">
        <v>0</v>
      </c>
      <c r="W409">
        <v>1139</v>
      </c>
      <c r="X409">
        <v>0</v>
      </c>
      <c r="Y409">
        <v>0</v>
      </c>
      <c r="Z409">
        <v>0.98</v>
      </c>
      <c r="AA409">
        <v>0.52500000000000002</v>
      </c>
      <c r="AB409">
        <v>0.67500000000000004</v>
      </c>
      <c r="AC409">
        <v>0.86099999999999999</v>
      </c>
      <c r="AD409">
        <v>4</v>
      </c>
      <c r="AE409">
        <v>2</v>
      </c>
      <c r="AF409">
        <v>2.4020000000000001</v>
      </c>
      <c r="AG409">
        <v>1504.89</v>
      </c>
      <c r="AH409" t="s">
        <v>454</v>
      </c>
      <c r="AI409" t="s">
        <v>1354</v>
      </c>
      <c r="AJ409" t="s">
        <v>1355</v>
      </c>
      <c r="AK409">
        <v>123580</v>
      </c>
      <c r="AL409">
        <v>0</v>
      </c>
      <c r="AM409">
        <v>0</v>
      </c>
      <c r="AN409">
        <v>0</v>
      </c>
      <c r="AO409">
        <v>0</v>
      </c>
      <c r="AP409">
        <v>895659</v>
      </c>
      <c r="AQ409">
        <v>139108</v>
      </c>
      <c r="AR409">
        <v>532244</v>
      </c>
      <c r="AS409">
        <v>600469</v>
      </c>
      <c r="AT409">
        <v>584502</v>
      </c>
      <c r="AU409">
        <v>0</v>
      </c>
      <c r="AV409">
        <v>0</v>
      </c>
      <c r="AW409">
        <v>0</v>
      </c>
      <c r="AX409">
        <v>123579.5625</v>
      </c>
      <c r="AY409">
        <v>0</v>
      </c>
      <c r="AZ409">
        <v>0</v>
      </c>
      <c r="BA409">
        <v>0</v>
      </c>
      <c r="BB409">
        <v>0</v>
      </c>
      <c r="BC409">
        <v>895659.25</v>
      </c>
      <c r="BD409">
        <v>139108.25</v>
      </c>
      <c r="BE409">
        <v>532244.25</v>
      </c>
      <c r="BF409">
        <v>600469.3125</v>
      </c>
      <c r="BG409">
        <v>584501.5625</v>
      </c>
      <c r="BH409">
        <v>0</v>
      </c>
      <c r="BI409">
        <v>0</v>
      </c>
      <c r="BJ409">
        <v>0</v>
      </c>
      <c r="BK409">
        <v>0</v>
      </c>
      <c r="BL409">
        <v>0</v>
      </c>
      <c r="BM409">
        <v>0</v>
      </c>
      <c r="BN409">
        <v>0</v>
      </c>
      <c r="BO409">
        <v>0</v>
      </c>
      <c r="BP409">
        <v>0</v>
      </c>
      <c r="BQ409">
        <v>0</v>
      </c>
      <c r="BR409">
        <v>0</v>
      </c>
      <c r="BS409">
        <v>0</v>
      </c>
      <c r="BT409">
        <v>0</v>
      </c>
      <c r="BU409">
        <v>0</v>
      </c>
      <c r="BV409">
        <v>0</v>
      </c>
      <c r="BW409">
        <v>0</v>
      </c>
    </row>
    <row r="410" spans="1:75" x14ac:dyDescent="0.55000000000000004">
      <c r="A410">
        <v>1140</v>
      </c>
      <c r="B410">
        <v>14.717000000000001</v>
      </c>
      <c r="C410">
        <v>838.59411999999998</v>
      </c>
      <c r="D410" t="s">
        <v>1350</v>
      </c>
      <c r="E410" t="s">
        <v>1</v>
      </c>
      <c r="F410" t="s">
        <v>2</v>
      </c>
      <c r="G410">
        <v>0.23</v>
      </c>
      <c r="H410" t="b">
        <v>1</v>
      </c>
      <c r="I410">
        <v>10.38</v>
      </c>
      <c r="J410">
        <v>838.59667999999999</v>
      </c>
      <c r="K410" t="s">
        <v>1351</v>
      </c>
      <c r="L410" t="s">
        <v>329</v>
      </c>
      <c r="N410" t="s">
        <v>1352</v>
      </c>
      <c r="O410" t="s">
        <v>1360</v>
      </c>
      <c r="P410">
        <v>410</v>
      </c>
      <c r="Q410" t="b">
        <v>0</v>
      </c>
      <c r="R410" t="b">
        <v>1</v>
      </c>
      <c r="S410" t="b">
        <v>1</v>
      </c>
      <c r="T410" t="s">
        <v>7</v>
      </c>
      <c r="U410" t="b">
        <v>0</v>
      </c>
      <c r="V410" t="b">
        <v>0</v>
      </c>
      <c r="W410">
        <v>1140</v>
      </c>
      <c r="X410">
        <v>0</v>
      </c>
      <c r="Y410">
        <v>0</v>
      </c>
      <c r="Z410">
        <v>0.97</v>
      </c>
      <c r="AA410">
        <v>0.64300000000000002</v>
      </c>
      <c r="AB410">
        <v>0.79</v>
      </c>
      <c r="AC410">
        <v>0.85199999999999998</v>
      </c>
      <c r="AD410">
        <v>4</v>
      </c>
      <c r="AE410">
        <v>2</v>
      </c>
      <c r="AF410">
        <v>2.444</v>
      </c>
      <c r="AG410">
        <v>2061</v>
      </c>
      <c r="AH410" t="s">
        <v>944</v>
      </c>
      <c r="AI410" t="s">
        <v>1356</v>
      </c>
      <c r="AJ410" t="s">
        <v>1357</v>
      </c>
      <c r="AK410">
        <v>42316</v>
      </c>
      <c r="AL410">
        <v>0</v>
      </c>
      <c r="AM410">
        <v>0</v>
      </c>
      <c r="AN410">
        <v>0</v>
      </c>
      <c r="AO410">
        <v>0</v>
      </c>
      <c r="AP410">
        <v>895659</v>
      </c>
      <c r="AQ410">
        <v>925965</v>
      </c>
      <c r="AR410">
        <v>532244</v>
      </c>
      <c r="AS410">
        <v>600469</v>
      </c>
      <c r="AT410">
        <v>584502</v>
      </c>
      <c r="AU410">
        <v>0</v>
      </c>
      <c r="AV410">
        <v>0</v>
      </c>
      <c r="AW410">
        <v>0</v>
      </c>
      <c r="AX410">
        <v>42315.75</v>
      </c>
      <c r="AY410">
        <v>0</v>
      </c>
      <c r="AZ410">
        <v>0</v>
      </c>
      <c r="BA410">
        <v>0</v>
      </c>
      <c r="BB410">
        <v>0</v>
      </c>
      <c r="BC410">
        <v>895659.25</v>
      </c>
      <c r="BD410">
        <v>925965.125</v>
      </c>
      <c r="BE410">
        <v>532244.25</v>
      </c>
      <c r="BF410">
        <v>600469.3125</v>
      </c>
      <c r="BG410">
        <v>584501.5625</v>
      </c>
      <c r="BH410">
        <v>0</v>
      </c>
      <c r="BI410">
        <v>0</v>
      </c>
      <c r="BJ410">
        <v>0</v>
      </c>
      <c r="BK410">
        <v>0</v>
      </c>
      <c r="BL410">
        <v>0</v>
      </c>
      <c r="BM410">
        <v>0</v>
      </c>
      <c r="BN410">
        <v>0</v>
      </c>
      <c r="BO410">
        <v>0</v>
      </c>
      <c r="BP410">
        <v>0</v>
      </c>
      <c r="BQ410">
        <v>0</v>
      </c>
      <c r="BR410">
        <v>0</v>
      </c>
      <c r="BS410">
        <v>0</v>
      </c>
      <c r="BT410">
        <v>0</v>
      </c>
      <c r="BU410">
        <v>0</v>
      </c>
      <c r="BV410">
        <v>0</v>
      </c>
      <c r="BW410">
        <v>0</v>
      </c>
    </row>
    <row r="411" spans="1:75" x14ac:dyDescent="0.55000000000000004">
      <c r="A411">
        <v>1141</v>
      </c>
      <c r="B411">
        <v>14.102</v>
      </c>
      <c r="C411">
        <v>838.59502999999995</v>
      </c>
      <c r="D411" t="s">
        <v>1358</v>
      </c>
      <c r="E411" t="s">
        <v>1</v>
      </c>
      <c r="F411" t="s">
        <v>2</v>
      </c>
      <c r="G411">
        <v>0.23</v>
      </c>
      <c r="H411" t="b">
        <v>1</v>
      </c>
      <c r="I411">
        <v>9.9019999999999992</v>
      </c>
      <c r="J411">
        <v>838.59667999999999</v>
      </c>
      <c r="K411" t="s">
        <v>1351</v>
      </c>
      <c r="L411" t="s">
        <v>329</v>
      </c>
      <c r="N411" t="s">
        <v>1359</v>
      </c>
      <c r="O411" t="s">
        <v>1367</v>
      </c>
      <c r="P411">
        <v>410</v>
      </c>
      <c r="Q411" t="b">
        <v>0</v>
      </c>
      <c r="R411" t="b">
        <v>1</v>
      </c>
      <c r="S411" t="b">
        <v>1</v>
      </c>
      <c r="T411" t="s">
        <v>7</v>
      </c>
      <c r="U411" t="b">
        <v>0</v>
      </c>
      <c r="V411" t="b">
        <v>0</v>
      </c>
      <c r="W411">
        <v>1141</v>
      </c>
      <c r="X411">
        <v>0</v>
      </c>
      <c r="Y411">
        <v>0</v>
      </c>
      <c r="Z411">
        <v>0.99</v>
      </c>
      <c r="AA411">
        <v>0.65800000000000003</v>
      </c>
      <c r="AB411">
        <v>0.76600000000000001</v>
      </c>
      <c r="AC411">
        <v>0.92800000000000005</v>
      </c>
      <c r="AD411">
        <v>5</v>
      </c>
      <c r="AE411">
        <v>2</v>
      </c>
      <c r="AF411">
        <v>2.4860000000000002</v>
      </c>
      <c r="AG411">
        <v>24929.9</v>
      </c>
      <c r="AH411" t="s">
        <v>944</v>
      </c>
      <c r="AI411" t="s">
        <v>1361</v>
      </c>
      <c r="AJ411" t="s">
        <v>1362</v>
      </c>
      <c r="AK411">
        <v>187600</v>
      </c>
      <c r="AL411">
        <v>0</v>
      </c>
      <c r="AM411">
        <v>0</v>
      </c>
      <c r="AN411">
        <v>0</v>
      </c>
      <c r="AO411">
        <v>0</v>
      </c>
      <c r="AP411">
        <v>9807217</v>
      </c>
      <c r="AQ411">
        <v>10610607</v>
      </c>
      <c r="AR411">
        <v>5610798</v>
      </c>
      <c r="AS411">
        <v>6312759</v>
      </c>
      <c r="AT411">
        <v>6401344</v>
      </c>
      <c r="AU411">
        <v>0</v>
      </c>
      <c r="AV411">
        <v>0</v>
      </c>
      <c r="AW411">
        <v>0</v>
      </c>
      <c r="AX411">
        <v>187600.3125</v>
      </c>
      <c r="AY411">
        <v>0</v>
      </c>
      <c r="AZ411">
        <v>0</v>
      </c>
      <c r="BA411">
        <v>0</v>
      </c>
      <c r="BB411">
        <v>0</v>
      </c>
      <c r="BC411">
        <v>9807216.9375</v>
      </c>
      <c r="BD411">
        <v>10610606.5625</v>
      </c>
      <c r="BE411">
        <v>5610798.125</v>
      </c>
      <c r="BF411">
        <v>6312758.9375</v>
      </c>
      <c r="BG411">
        <v>6401344</v>
      </c>
      <c r="BH411">
        <v>0</v>
      </c>
      <c r="BI411">
        <v>0</v>
      </c>
      <c r="BJ411">
        <v>0</v>
      </c>
      <c r="BK411">
        <v>0</v>
      </c>
      <c r="BL411">
        <v>0</v>
      </c>
      <c r="BM411">
        <v>0</v>
      </c>
      <c r="BN411">
        <v>0</v>
      </c>
      <c r="BO411">
        <v>0</v>
      </c>
      <c r="BP411">
        <v>0</v>
      </c>
      <c r="BQ411">
        <v>0</v>
      </c>
      <c r="BR411">
        <v>0</v>
      </c>
      <c r="BS411">
        <v>0</v>
      </c>
      <c r="BT411">
        <v>0</v>
      </c>
      <c r="BU411">
        <v>0</v>
      </c>
      <c r="BV411">
        <v>0</v>
      </c>
      <c r="BW411">
        <v>0</v>
      </c>
    </row>
    <row r="412" spans="1:75" x14ac:dyDescent="0.55000000000000004">
      <c r="A412">
        <v>1142</v>
      </c>
      <c r="B412">
        <v>14.18</v>
      </c>
      <c r="C412">
        <v>838.59509000000003</v>
      </c>
      <c r="D412" t="s">
        <v>1358</v>
      </c>
      <c r="E412" t="s">
        <v>1</v>
      </c>
      <c r="F412" t="s">
        <v>2</v>
      </c>
      <c r="G412">
        <v>0.23</v>
      </c>
      <c r="H412" t="b">
        <v>1</v>
      </c>
      <c r="I412">
        <v>9.9019999999999992</v>
      </c>
      <c r="J412">
        <v>838.59667999999999</v>
      </c>
      <c r="K412" t="s">
        <v>1351</v>
      </c>
      <c r="L412" t="s">
        <v>329</v>
      </c>
      <c r="N412" t="s">
        <v>1359</v>
      </c>
      <c r="O412" t="s">
        <v>1367</v>
      </c>
      <c r="P412">
        <v>410</v>
      </c>
      <c r="Q412" t="b">
        <v>0</v>
      </c>
      <c r="R412" t="b">
        <v>1</v>
      </c>
      <c r="S412" t="b">
        <v>1</v>
      </c>
      <c r="T412" t="s">
        <v>7</v>
      </c>
      <c r="U412" t="b">
        <v>0</v>
      </c>
      <c r="V412" t="b">
        <v>0</v>
      </c>
      <c r="W412">
        <v>1142</v>
      </c>
      <c r="X412">
        <v>0</v>
      </c>
      <c r="Y412">
        <v>0</v>
      </c>
      <c r="Z412">
        <v>0.98</v>
      </c>
      <c r="AA412">
        <v>0.80900000000000005</v>
      </c>
      <c r="AB412">
        <v>0.90400000000000003</v>
      </c>
      <c r="AC412">
        <v>0.89900000000000002</v>
      </c>
      <c r="AD412">
        <v>5</v>
      </c>
      <c r="AE412">
        <v>2</v>
      </c>
      <c r="AF412">
        <v>2.5310000000000001</v>
      </c>
      <c r="AG412">
        <v>16727.03</v>
      </c>
      <c r="AH412" t="s">
        <v>927</v>
      </c>
      <c r="AI412" t="s">
        <v>1363</v>
      </c>
      <c r="AJ412" t="s">
        <v>1364</v>
      </c>
      <c r="AK412">
        <v>1078059</v>
      </c>
      <c r="AL412">
        <v>0</v>
      </c>
      <c r="AM412">
        <v>0</v>
      </c>
      <c r="AN412">
        <v>0</v>
      </c>
      <c r="AO412">
        <v>0</v>
      </c>
      <c r="AP412">
        <v>9807217</v>
      </c>
      <c r="AQ412">
        <v>10610607</v>
      </c>
      <c r="AR412">
        <v>5610798</v>
      </c>
      <c r="AS412">
        <v>6312759</v>
      </c>
      <c r="AT412">
        <v>6401344</v>
      </c>
      <c r="AU412">
        <v>0</v>
      </c>
      <c r="AV412">
        <v>0</v>
      </c>
      <c r="AW412">
        <v>0</v>
      </c>
      <c r="AX412">
        <v>1078059.0625</v>
      </c>
      <c r="AY412">
        <v>0</v>
      </c>
      <c r="AZ412">
        <v>0</v>
      </c>
      <c r="BA412">
        <v>0</v>
      </c>
      <c r="BB412">
        <v>0</v>
      </c>
      <c r="BC412">
        <v>9807216.9375</v>
      </c>
      <c r="BD412">
        <v>10610606.5625</v>
      </c>
      <c r="BE412">
        <v>5610798.125</v>
      </c>
      <c r="BF412">
        <v>6312758.9375</v>
      </c>
      <c r="BG412">
        <v>6401344</v>
      </c>
      <c r="BH412">
        <v>0</v>
      </c>
      <c r="BI412">
        <v>0</v>
      </c>
      <c r="BJ412">
        <v>0</v>
      </c>
      <c r="BK412">
        <v>0</v>
      </c>
      <c r="BL412">
        <v>0</v>
      </c>
      <c r="BM412">
        <v>0</v>
      </c>
      <c r="BN412">
        <v>0</v>
      </c>
      <c r="BO412">
        <v>0</v>
      </c>
      <c r="BP412">
        <v>0</v>
      </c>
      <c r="BQ412">
        <v>0</v>
      </c>
      <c r="BR412">
        <v>0</v>
      </c>
      <c r="BS412">
        <v>0</v>
      </c>
      <c r="BT412">
        <v>0</v>
      </c>
      <c r="BU412">
        <v>0</v>
      </c>
      <c r="BV412">
        <v>0</v>
      </c>
      <c r="BW412">
        <v>0</v>
      </c>
    </row>
    <row r="413" spans="1:75" x14ac:dyDescent="0.55000000000000004">
      <c r="A413">
        <v>1162</v>
      </c>
      <c r="B413">
        <v>13.952</v>
      </c>
      <c r="C413">
        <v>840.57317999999998</v>
      </c>
      <c r="D413" t="s">
        <v>1365</v>
      </c>
      <c r="E413" t="s">
        <v>1</v>
      </c>
      <c r="F413" t="s">
        <v>2</v>
      </c>
      <c r="G413">
        <v>0.31</v>
      </c>
      <c r="H413" t="b">
        <v>1</v>
      </c>
      <c r="I413">
        <v>9.4819999999999993</v>
      </c>
      <c r="J413">
        <v>840.57599000000005</v>
      </c>
      <c r="K413" t="s">
        <v>866</v>
      </c>
      <c r="L413" t="s">
        <v>660</v>
      </c>
      <c r="N413" t="s">
        <v>1366</v>
      </c>
      <c r="O413" t="s">
        <v>1367</v>
      </c>
      <c r="P413">
        <v>410</v>
      </c>
      <c r="Q413" t="b">
        <v>0</v>
      </c>
      <c r="R413" t="b">
        <v>1</v>
      </c>
      <c r="S413" t="b">
        <v>1</v>
      </c>
      <c r="T413" t="s">
        <v>7</v>
      </c>
      <c r="U413" t="b">
        <v>0</v>
      </c>
      <c r="V413" t="b">
        <v>0</v>
      </c>
      <c r="W413">
        <v>1162</v>
      </c>
      <c r="X413">
        <v>0</v>
      </c>
      <c r="Y413">
        <v>0</v>
      </c>
      <c r="Z413">
        <v>0.95</v>
      </c>
      <c r="AA413">
        <v>0.65300000000000002</v>
      </c>
      <c r="AB413">
        <v>0.68899999999999995</v>
      </c>
      <c r="AC413">
        <v>0.82899999999999996</v>
      </c>
      <c r="AD413">
        <v>8</v>
      </c>
      <c r="AE413">
        <v>2</v>
      </c>
      <c r="AF413">
        <v>2.4009999999999998</v>
      </c>
      <c r="AG413">
        <v>2456.62</v>
      </c>
      <c r="AH413" t="s">
        <v>960</v>
      </c>
      <c r="AI413" t="s">
        <v>1368</v>
      </c>
      <c r="AJ413" t="s">
        <v>1369</v>
      </c>
      <c r="AK413">
        <v>132300</v>
      </c>
      <c r="AL413">
        <v>0</v>
      </c>
      <c r="AM413">
        <v>0</v>
      </c>
      <c r="AN413">
        <v>0</v>
      </c>
      <c r="AO413">
        <v>0</v>
      </c>
      <c r="AP413">
        <v>2681571</v>
      </c>
      <c r="AQ413">
        <v>2825905</v>
      </c>
      <c r="AR413">
        <v>1471253</v>
      </c>
      <c r="AS413">
        <v>1793103</v>
      </c>
      <c r="AT413">
        <v>1785298</v>
      </c>
      <c r="AU413">
        <v>0</v>
      </c>
      <c r="AV413">
        <v>0</v>
      </c>
      <c r="AW413">
        <v>0</v>
      </c>
      <c r="AX413">
        <v>132300.125</v>
      </c>
      <c r="AY413">
        <v>0</v>
      </c>
      <c r="AZ413">
        <v>0</v>
      </c>
      <c r="BA413">
        <v>0</v>
      </c>
      <c r="BB413">
        <v>0</v>
      </c>
      <c r="BC413">
        <v>2681570.9375</v>
      </c>
      <c r="BD413">
        <v>2825904.6875</v>
      </c>
      <c r="BE413">
        <v>1471252.75</v>
      </c>
      <c r="BF413">
        <v>1793102.5625</v>
      </c>
      <c r="BG413">
        <v>1785298.0625</v>
      </c>
      <c r="BH413">
        <v>0</v>
      </c>
      <c r="BI413">
        <v>0</v>
      </c>
      <c r="BJ413">
        <v>0</v>
      </c>
      <c r="BK413">
        <v>0</v>
      </c>
      <c r="BL413">
        <v>0</v>
      </c>
      <c r="BM413">
        <v>0</v>
      </c>
      <c r="BN413">
        <v>0</v>
      </c>
      <c r="BO413">
        <v>0</v>
      </c>
      <c r="BP413">
        <v>0</v>
      </c>
      <c r="BQ413">
        <v>0</v>
      </c>
      <c r="BR413">
        <v>0</v>
      </c>
      <c r="BS413">
        <v>0</v>
      </c>
      <c r="BT413">
        <v>0</v>
      </c>
      <c r="BU413">
        <v>0</v>
      </c>
      <c r="BV413">
        <v>0</v>
      </c>
      <c r="BW413">
        <v>0</v>
      </c>
    </row>
    <row r="414" spans="1:75" x14ac:dyDescent="0.55000000000000004">
      <c r="A414">
        <v>1163</v>
      </c>
      <c r="B414">
        <v>14.054</v>
      </c>
      <c r="C414">
        <v>840.57330000000002</v>
      </c>
      <c r="D414" t="s">
        <v>1365</v>
      </c>
      <c r="E414" t="s">
        <v>1</v>
      </c>
      <c r="F414" t="s">
        <v>2</v>
      </c>
      <c r="G414">
        <v>0.23</v>
      </c>
      <c r="H414" t="b">
        <v>1</v>
      </c>
      <c r="I414">
        <v>9.4819999999999993</v>
      </c>
      <c r="J414">
        <v>840.57599000000005</v>
      </c>
      <c r="K414" t="s">
        <v>866</v>
      </c>
      <c r="L414" t="s">
        <v>660</v>
      </c>
      <c r="N414" t="s">
        <v>1366</v>
      </c>
      <c r="O414" t="s">
        <v>1377</v>
      </c>
      <c r="P414">
        <v>410</v>
      </c>
      <c r="Q414" t="b">
        <v>0</v>
      </c>
      <c r="R414" t="b">
        <v>1</v>
      </c>
      <c r="S414" t="b">
        <v>1</v>
      </c>
      <c r="T414" t="s">
        <v>7</v>
      </c>
      <c r="U414" t="b">
        <v>0</v>
      </c>
      <c r="V414" t="b">
        <v>0</v>
      </c>
      <c r="W414">
        <v>1163</v>
      </c>
      <c r="X414">
        <v>0</v>
      </c>
      <c r="Y414">
        <v>0</v>
      </c>
      <c r="Z414">
        <v>0.96</v>
      </c>
      <c r="AA414">
        <v>0.66900000000000004</v>
      </c>
      <c r="AB414">
        <v>0.753</v>
      </c>
      <c r="AC414">
        <v>0.82</v>
      </c>
      <c r="AD414">
        <v>7</v>
      </c>
      <c r="AE414">
        <v>2</v>
      </c>
      <c r="AF414">
        <v>2.42</v>
      </c>
      <c r="AG414">
        <v>2424.88</v>
      </c>
      <c r="AH414" t="s">
        <v>927</v>
      </c>
      <c r="AI414" t="s">
        <v>1370</v>
      </c>
      <c r="AJ414" t="s">
        <v>1371</v>
      </c>
      <c r="AK414">
        <v>290241</v>
      </c>
      <c r="AL414">
        <v>0</v>
      </c>
      <c r="AM414">
        <v>0</v>
      </c>
      <c r="AN414">
        <v>0</v>
      </c>
      <c r="AO414">
        <v>0</v>
      </c>
      <c r="AP414">
        <v>2681571</v>
      </c>
      <c r="AQ414">
        <v>2825905</v>
      </c>
      <c r="AR414">
        <v>1471253</v>
      </c>
      <c r="AS414">
        <v>1793103</v>
      </c>
      <c r="AT414">
        <v>1785298</v>
      </c>
      <c r="AU414">
        <v>0</v>
      </c>
      <c r="AV414">
        <v>0</v>
      </c>
      <c r="AW414">
        <v>0</v>
      </c>
      <c r="AX414">
        <v>290240.5625</v>
      </c>
      <c r="AY414">
        <v>0</v>
      </c>
      <c r="AZ414">
        <v>0</v>
      </c>
      <c r="BA414">
        <v>0</v>
      </c>
      <c r="BB414">
        <v>0</v>
      </c>
      <c r="BC414">
        <v>2681570.9375</v>
      </c>
      <c r="BD414">
        <v>2825904.6875</v>
      </c>
      <c r="BE414">
        <v>1471252.75</v>
      </c>
      <c r="BF414">
        <v>1793102.5625</v>
      </c>
      <c r="BG414">
        <v>1785298.0625</v>
      </c>
      <c r="BH414">
        <v>0</v>
      </c>
      <c r="BI414">
        <v>0</v>
      </c>
      <c r="BJ414">
        <v>0</v>
      </c>
      <c r="BK414">
        <v>0</v>
      </c>
      <c r="BL414">
        <v>0</v>
      </c>
      <c r="BM414">
        <v>0</v>
      </c>
      <c r="BN414">
        <v>0</v>
      </c>
      <c r="BO414">
        <v>0</v>
      </c>
      <c r="BP414">
        <v>0</v>
      </c>
      <c r="BQ414">
        <v>0</v>
      </c>
      <c r="BR414">
        <v>0</v>
      </c>
      <c r="BS414">
        <v>0</v>
      </c>
      <c r="BT414">
        <v>0</v>
      </c>
      <c r="BU414">
        <v>0</v>
      </c>
      <c r="BV414">
        <v>0</v>
      </c>
      <c r="BW414">
        <v>0</v>
      </c>
    </row>
    <row r="415" spans="1:75" x14ac:dyDescent="0.55000000000000004">
      <c r="A415">
        <v>1164</v>
      </c>
      <c r="B415">
        <v>13.792</v>
      </c>
      <c r="C415">
        <v>840.57410000000004</v>
      </c>
      <c r="D415" t="s">
        <v>1365</v>
      </c>
      <c r="E415" t="s">
        <v>1</v>
      </c>
      <c r="F415" t="s">
        <v>2</v>
      </c>
      <c r="G415">
        <v>0.38</v>
      </c>
      <c r="H415" t="b">
        <v>1</v>
      </c>
      <c r="I415">
        <v>9.4819999999999993</v>
      </c>
      <c r="J415">
        <v>840.57599000000005</v>
      </c>
      <c r="K415" t="s">
        <v>866</v>
      </c>
      <c r="L415" t="s">
        <v>660</v>
      </c>
      <c r="N415" t="s">
        <v>1366</v>
      </c>
      <c r="O415" t="s">
        <v>1382</v>
      </c>
      <c r="P415">
        <v>410</v>
      </c>
      <c r="Q415" t="b">
        <v>0</v>
      </c>
      <c r="R415" t="b">
        <v>1</v>
      </c>
      <c r="S415" t="b">
        <v>1</v>
      </c>
      <c r="T415" t="s">
        <v>7</v>
      </c>
      <c r="U415" t="b">
        <v>0</v>
      </c>
      <c r="V415" t="b">
        <v>0</v>
      </c>
      <c r="W415">
        <v>1164</v>
      </c>
      <c r="X415">
        <v>0</v>
      </c>
      <c r="Y415">
        <v>0</v>
      </c>
      <c r="Z415">
        <v>0.97</v>
      </c>
      <c r="AA415">
        <v>0.66400000000000003</v>
      </c>
      <c r="AB415">
        <v>0.73699999999999999</v>
      </c>
      <c r="AC415">
        <v>0.88200000000000001</v>
      </c>
      <c r="AD415">
        <v>7</v>
      </c>
      <c r="AE415">
        <v>2</v>
      </c>
      <c r="AF415">
        <v>2.4470000000000001</v>
      </c>
      <c r="AG415">
        <v>1392.07</v>
      </c>
      <c r="AH415" t="s">
        <v>927</v>
      </c>
      <c r="AI415" t="s">
        <v>1372</v>
      </c>
      <c r="AJ415" t="s">
        <v>1373</v>
      </c>
      <c r="AK415">
        <v>132300</v>
      </c>
      <c r="AL415">
        <v>0</v>
      </c>
      <c r="AM415">
        <v>0</v>
      </c>
      <c r="AN415">
        <v>0</v>
      </c>
      <c r="AO415">
        <v>0</v>
      </c>
      <c r="AP415">
        <v>1254135</v>
      </c>
      <c r="AQ415">
        <v>1236822</v>
      </c>
      <c r="AR415">
        <v>683686</v>
      </c>
      <c r="AS415">
        <v>795270</v>
      </c>
      <c r="AT415">
        <v>789475</v>
      </c>
      <c r="AU415">
        <v>0</v>
      </c>
      <c r="AV415">
        <v>0</v>
      </c>
      <c r="AW415">
        <v>0</v>
      </c>
      <c r="AX415">
        <v>132300.125</v>
      </c>
      <c r="AY415">
        <v>0</v>
      </c>
      <c r="AZ415">
        <v>0</v>
      </c>
      <c r="BA415">
        <v>0</v>
      </c>
      <c r="BB415">
        <v>0</v>
      </c>
      <c r="BC415">
        <v>1254135.25</v>
      </c>
      <c r="BD415">
        <v>1236821.5</v>
      </c>
      <c r="BE415">
        <v>683686.3125</v>
      </c>
      <c r="BF415">
        <v>795270.375</v>
      </c>
      <c r="BG415">
        <v>789475.1875</v>
      </c>
      <c r="BH415">
        <v>0</v>
      </c>
      <c r="BI415">
        <v>0</v>
      </c>
      <c r="BJ415">
        <v>0</v>
      </c>
      <c r="BK415">
        <v>0</v>
      </c>
      <c r="BL415">
        <v>0</v>
      </c>
      <c r="BM415">
        <v>0</v>
      </c>
      <c r="BN415">
        <v>0</v>
      </c>
      <c r="BO415">
        <v>0</v>
      </c>
      <c r="BP415">
        <v>0</v>
      </c>
      <c r="BQ415">
        <v>0</v>
      </c>
      <c r="BR415">
        <v>0</v>
      </c>
      <c r="BS415">
        <v>0</v>
      </c>
      <c r="BT415">
        <v>0</v>
      </c>
      <c r="BU415">
        <v>0</v>
      </c>
      <c r="BV415">
        <v>0</v>
      </c>
      <c r="BW415">
        <v>0</v>
      </c>
    </row>
    <row r="416" spans="1:75" x14ac:dyDescent="0.55000000000000004">
      <c r="A416">
        <v>1165</v>
      </c>
      <c r="B416">
        <v>15.003</v>
      </c>
      <c r="C416">
        <v>840.60973999999999</v>
      </c>
      <c r="D416" t="s">
        <v>1374</v>
      </c>
      <c r="E416" t="s">
        <v>1</v>
      </c>
      <c r="F416" t="s">
        <v>2</v>
      </c>
      <c r="G416">
        <v>0.23</v>
      </c>
      <c r="H416" t="b">
        <v>1</v>
      </c>
      <c r="I416">
        <v>10.804</v>
      </c>
      <c r="J416">
        <v>840.61243000000002</v>
      </c>
      <c r="K416" t="s">
        <v>1375</v>
      </c>
      <c r="L416" t="s">
        <v>329</v>
      </c>
      <c r="N416" t="s">
        <v>1376</v>
      </c>
      <c r="O416" t="s">
        <v>1377</v>
      </c>
      <c r="P416">
        <v>410</v>
      </c>
      <c r="Q416" t="b">
        <v>0</v>
      </c>
      <c r="R416" t="b">
        <v>1</v>
      </c>
      <c r="S416" t="b">
        <v>1</v>
      </c>
      <c r="T416" t="s">
        <v>7</v>
      </c>
      <c r="U416" t="b">
        <v>0</v>
      </c>
      <c r="V416" t="b">
        <v>0</v>
      </c>
      <c r="W416">
        <v>1165</v>
      </c>
      <c r="X416">
        <v>0</v>
      </c>
      <c r="Y416">
        <v>0</v>
      </c>
      <c r="Z416">
        <v>0.95</v>
      </c>
      <c r="AA416">
        <v>0.48799999999999999</v>
      </c>
      <c r="AB416">
        <v>0.60499999999999998</v>
      </c>
      <c r="AC416">
        <v>0.92500000000000004</v>
      </c>
      <c r="AD416">
        <v>4</v>
      </c>
      <c r="AE416">
        <v>2</v>
      </c>
      <c r="AF416">
        <v>2.391</v>
      </c>
      <c r="AG416">
        <v>1197.53</v>
      </c>
      <c r="AH416" t="s">
        <v>1011</v>
      </c>
      <c r="AI416" t="s">
        <v>1378</v>
      </c>
      <c r="AJ416" t="s">
        <v>1379</v>
      </c>
      <c r="AK416">
        <v>169613</v>
      </c>
      <c r="AL416">
        <v>0</v>
      </c>
      <c r="AM416">
        <v>0</v>
      </c>
      <c r="AN416">
        <v>0</v>
      </c>
      <c r="AO416">
        <v>0</v>
      </c>
      <c r="AP416">
        <v>1608961</v>
      </c>
      <c r="AQ416">
        <v>1587858</v>
      </c>
      <c r="AR416">
        <v>845228</v>
      </c>
      <c r="AS416">
        <v>984817</v>
      </c>
      <c r="AT416">
        <v>984502</v>
      </c>
      <c r="AU416">
        <v>0</v>
      </c>
      <c r="AV416">
        <v>0</v>
      </c>
      <c r="AW416">
        <v>0</v>
      </c>
      <c r="AX416">
        <v>169613</v>
      </c>
      <c r="AY416">
        <v>0</v>
      </c>
      <c r="AZ416">
        <v>0</v>
      </c>
      <c r="BA416">
        <v>0</v>
      </c>
      <c r="BB416">
        <v>0</v>
      </c>
      <c r="BC416">
        <v>1608961.0625</v>
      </c>
      <c r="BD416">
        <v>1587858.4375</v>
      </c>
      <c r="BE416">
        <v>845228.1875</v>
      </c>
      <c r="BF416">
        <v>984817.125</v>
      </c>
      <c r="BG416">
        <v>984502.125</v>
      </c>
      <c r="BH416">
        <v>0</v>
      </c>
      <c r="BI416">
        <v>0</v>
      </c>
      <c r="BJ416">
        <v>0</v>
      </c>
      <c r="BK416">
        <v>0</v>
      </c>
      <c r="BL416">
        <v>0</v>
      </c>
      <c r="BM416">
        <v>0</v>
      </c>
      <c r="BN416">
        <v>0</v>
      </c>
      <c r="BO416">
        <v>0</v>
      </c>
      <c r="BP416">
        <v>0</v>
      </c>
      <c r="BQ416">
        <v>0</v>
      </c>
      <c r="BR416">
        <v>0</v>
      </c>
      <c r="BS416">
        <v>0</v>
      </c>
      <c r="BT416">
        <v>0</v>
      </c>
      <c r="BU416">
        <v>0</v>
      </c>
      <c r="BV416">
        <v>0</v>
      </c>
      <c r="BW416">
        <v>0</v>
      </c>
    </row>
    <row r="417" spans="1:75" x14ac:dyDescent="0.55000000000000004">
      <c r="A417">
        <v>1166</v>
      </c>
      <c r="B417">
        <v>14.708</v>
      </c>
      <c r="C417">
        <v>840.61005</v>
      </c>
      <c r="D417" t="s">
        <v>1380</v>
      </c>
      <c r="E417" t="s">
        <v>1</v>
      </c>
      <c r="F417" t="s">
        <v>2</v>
      </c>
      <c r="G417">
        <v>0.23</v>
      </c>
      <c r="H417" t="b">
        <v>1</v>
      </c>
      <c r="I417">
        <v>11.009</v>
      </c>
      <c r="J417">
        <v>840.61243000000002</v>
      </c>
      <c r="K417" t="s">
        <v>1375</v>
      </c>
      <c r="L417" t="s">
        <v>329</v>
      </c>
      <c r="N417" t="s">
        <v>1381</v>
      </c>
      <c r="O417" t="s">
        <v>1377</v>
      </c>
      <c r="P417">
        <v>410</v>
      </c>
      <c r="Q417" t="b">
        <v>0</v>
      </c>
      <c r="R417" t="b">
        <v>1</v>
      </c>
      <c r="S417" t="b">
        <v>1</v>
      </c>
      <c r="T417" t="s">
        <v>7</v>
      </c>
      <c r="U417" t="b">
        <v>0</v>
      </c>
      <c r="V417" t="b">
        <v>0</v>
      </c>
      <c r="W417">
        <v>1166</v>
      </c>
      <c r="X417">
        <v>0</v>
      </c>
      <c r="Y417">
        <v>0</v>
      </c>
      <c r="Z417">
        <v>0.96</v>
      </c>
      <c r="AA417">
        <v>0.41299999999999998</v>
      </c>
      <c r="AB417">
        <v>0.55300000000000005</v>
      </c>
      <c r="AC417">
        <v>0.86799999999999999</v>
      </c>
      <c r="AD417">
        <v>4</v>
      </c>
      <c r="AE417">
        <v>2</v>
      </c>
      <c r="AF417">
        <v>2.3450000000000002</v>
      </c>
      <c r="AG417">
        <v>482.06</v>
      </c>
      <c r="AH417" t="s">
        <v>927</v>
      </c>
      <c r="AI417" t="s">
        <v>1383</v>
      </c>
      <c r="AJ417" t="s">
        <v>1384</v>
      </c>
      <c r="AK417">
        <v>92348</v>
      </c>
      <c r="AL417">
        <v>0</v>
      </c>
      <c r="AM417">
        <v>0</v>
      </c>
      <c r="AN417">
        <v>0</v>
      </c>
      <c r="AO417">
        <v>0</v>
      </c>
      <c r="AP417">
        <v>556888</v>
      </c>
      <c r="AQ417">
        <v>565025</v>
      </c>
      <c r="AR417">
        <v>355455</v>
      </c>
      <c r="AS417">
        <v>403763</v>
      </c>
      <c r="AT417">
        <v>393506</v>
      </c>
      <c r="AU417">
        <v>0</v>
      </c>
      <c r="AV417">
        <v>0</v>
      </c>
      <c r="AW417">
        <v>0</v>
      </c>
      <c r="AX417">
        <v>92348</v>
      </c>
      <c r="AY417">
        <v>0</v>
      </c>
      <c r="AZ417">
        <v>0</v>
      </c>
      <c r="BA417">
        <v>0</v>
      </c>
      <c r="BB417">
        <v>0</v>
      </c>
      <c r="BC417">
        <v>556888.3125</v>
      </c>
      <c r="BD417">
        <v>565025.125</v>
      </c>
      <c r="BE417">
        <v>355455.4375</v>
      </c>
      <c r="BF417">
        <v>403762.75</v>
      </c>
      <c r="BG417">
        <v>393505.5</v>
      </c>
      <c r="BH417">
        <v>0</v>
      </c>
      <c r="BI417">
        <v>0</v>
      </c>
      <c r="BJ417">
        <v>0</v>
      </c>
      <c r="BK417">
        <v>0</v>
      </c>
      <c r="BL417">
        <v>0</v>
      </c>
      <c r="BM417">
        <v>0</v>
      </c>
      <c r="BN417">
        <v>0</v>
      </c>
      <c r="BO417">
        <v>0</v>
      </c>
      <c r="BP417">
        <v>0</v>
      </c>
      <c r="BQ417">
        <v>0</v>
      </c>
      <c r="BR417">
        <v>0</v>
      </c>
      <c r="BS417">
        <v>0</v>
      </c>
      <c r="BT417">
        <v>0</v>
      </c>
      <c r="BU417">
        <v>0</v>
      </c>
      <c r="BV417">
        <v>0</v>
      </c>
      <c r="BW417">
        <v>0</v>
      </c>
    </row>
    <row r="418" spans="1:75" x14ac:dyDescent="0.55000000000000004">
      <c r="A418">
        <v>1169</v>
      </c>
      <c r="B418">
        <v>14.932</v>
      </c>
      <c r="C418">
        <v>840.61077999999998</v>
      </c>
      <c r="D418" t="s">
        <v>1374</v>
      </c>
      <c r="E418" t="s">
        <v>1</v>
      </c>
      <c r="F418" t="s">
        <v>2</v>
      </c>
      <c r="G418">
        <v>0.23</v>
      </c>
      <c r="H418" t="b">
        <v>1</v>
      </c>
      <c r="I418">
        <v>10.804</v>
      </c>
      <c r="J418">
        <v>840.61243000000002</v>
      </c>
      <c r="K418" t="s">
        <v>1375</v>
      </c>
      <c r="L418" t="s">
        <v>329</v>
      </c>
      <c r="N418" t="s">
        <v>1376</v>
      </c>
      <c r="O418" t="s">
        <v>1377</v>
      </c>
      <c r="P418">
        <v>410</v>
      </c>
      <c r="Q418" t="b">
        <v>0</v>
      </c>
      <c r="R418" t="b">
        <v>1</v>
      </c>
      <c r="S418" t="b">
        <v>1</v>
      </c>
      <c r="T418" t="s">
        <v>7</v>
      </c>
      <c r="U418" t="b">
        <v>0</v>
      </c>
      <c r="V418" t="b">
        <v>0</v>
      </c>
      <c r="W418">
        <v>1169</v>
      </c>
      <c r="X418">
        <v>0</v>
      </c>
      <c r="Y418">
        <v>0</v>
      </c>
      <c r="Z418">
        <v>0.98</v>
      </c>
      <c r="AA418">
        <v>0.53400000000000003</v>
      </c>
      <c r="AB418">
        <v>0.63300000000000001</v>
      </c>
      <c r="AC418">
        <v>0.93</v>
      </c>
      <c r="AD418">
        <v>5</v>
      </c>
      <c r="AE418">
        <v>2</v>
      </c>
      <c r="AF418">
        <v>2.4249999999999998</v>
      </c>
      <c r="AG418">
        <v>1612.61</v>
      </c>
      <c r="AH418" t="s">
        <v>944</v>
      </c>
      <c r="AI418" t="s">
        <v>1385</v>
      </c>
      <c r="AJ418" t="s">
        <v>1386</v>
      </c>
      <c r="AK418">
        <v>169613</v>
      </c>
      <c r="AL418">
        <v>0</v>
      </c>
      <c r="AM418">
        <v>0</v>
      </c>
      <c r="AN418">
        <v>0</v>
      </c>
      <c r="AO418">
        <v>0</v>
      </c>
      <c r="AP418">
        <v>1608961</v>
      </c>
      <c r="AQ418">
        <v>1587858</v>
      </c>
      <c r="AR418">
        <v>845228</v>
      </c>
      <c r="AS418">
        <v>984817</v>
      </c>
      <c r="AT418">
        <v>984502</v>
      </c>
      <c r="AU418">
        <v>0</v>
      </c>
      <c r="AV418">
        <v>0</v>
      </c>
      <c r="AW418">
        <v>0</v>
      </c>
      <c r="AX418">
        <v>169613</v>
      </c>
      <c r="AY418">
        <v>0</v>
      </c>
      <c r="AZ418">
        <v>0</v>
      </c>
      <c r="BA418">
        <v>0</v>
      </c>
      <c r="BB418">
        <v>0</v>
      </c>
      <c r="BC418">
        <v>1608961.0625</v>
      </c>
      <c r="BD418">
        <v>1587858.4375</v>
      </c>
      <c r="BE418">
        <v>845228.1875</v>
      </c>
      <c r="BF418">
        <v>984817.125</v>
      </c>
      <c r="BG418">
        <v>984502.125</v>
      </c>
      <c r="BH418">
        <v>0</v>
      </c>
      <c r="BI418">
        <v>0</v>
      </c>
      <c r="BJ418">
        <v>0</v>
      </c>
      <c r="BK418">
        <v>0</v>
      </c>
      <c r="BL418">
        <v>0</v>
      </c>
      <c r="BM418">
        <v>0</v>
      </c>
      <c r="BN418">
        <v>0</v>
      </c>
      <c r="BO418">
        <v>0</v>
      </c>
      <c r="BP418">
        <v>0</v>
      </c>
      <c r="BQ418">
        <v>0</v>
      </c>
      <c r="BR418">
        <v>0</v>
      </c>
      <c r="BS418">
        <v>0</v>
      </c>
      <c r="BT418">
        <v>0</v>
      </c>
      <c r="BU418">
        <v>0</v>
      </c>
      <c r="BV418">
        <v>0</v>
      </c>
      <c r="BW418">
        <v>0</v>
      </c>
    </row>
    <row r="419" spans="1:75" x14ac:dyDescent="0.55000000000000004">
      <c r="A419">
        <v>1170</v>
      </c>
      <c r="B419">
        <v>15.318</v>
      </c>
      <c r="C419">
        <v>840.61162999999999</v>
      </c>
      <c r="D419" t="s">
        <v>1374</v>
      </c>
      <c r="E419" t="s">
        <v>1</v>
      </c>
      <c r="F419" t="s">
        <v>2</v>
      </c>
      <c r="G419">
        <v>0.23</v>
      </c>
      <c r="H419" t="b">
        <v>1</v>
      </c>
      <c r="I419">
        <v>10.804</v>
      </c>
      <c r="J419">
        <v>840.61243000000002</v>
      </c>
      <c r="K419" t="s">
        <v>1375</v>
      </c>
      <c r="L419" t="s">
        <v>329</v>
      </c>
      <c r="N419" t="s">
        <v>1376</v>
      </c>
      <c r="O419" t="s">
        <v>1393</v>
      </c>
      <c r="P419">
        <v>410</v>
      </c>
      <c r="Q419" t="b">
        <v>0</v>
      </c>
      <c r="R419" t="b">
        <v>1</v>
      </c>
      <c r="S419" t="b">
        <v>1</v>
      </c>
      <c r="T419" t="s">
        <v>7</v>
      </c>
      <c r="U419" t="b">
        <v>0</v>
      </c>
      <c r="V419" t="b">
        <v>0</v>
      </c>
      <c r="W419">
        <v>1170</v>
      </c>
      <c r="X419">
        <v>0</v>
      </c>
      <c r="Y419">
        <v>0</v>
      </c>
      <c r="Z419">
        <v>0.99</v>
      </c>
      <c r="AA419">
        <v>0.82699999999999996</v>
      </c>
      <c r="AB419">
        <v>0.91500000000000004</v>
      </c>
      <c r="AC419">
        <v>0.89200000000000002</v>
      </c>
      <c r="AD419">
        <v>5</v>
      </c>
      <c r="AE419">
        <v>2</v>
      </c>
      <c r="AF419">
        <v>2.5379999999999998</v>
      </c>
      <c r="AG419">
        <v>5283.96</v>
      </c>
      <c r="AH419" t="s">
        <v>927</v>
      </c>
      <c r="AI419" t="s">
        <v>1387</v>
      </c>
      <c r="AJ419" t="s">
        <v>1388</v>
      </c>
      <c r="AK419">
        <v>567428</v>
      </c>
      <c r="AL419">
        <v>0</v>
      </c>
      <c r="AM419">
        <v>0</v>
      </c>
      <c r="AN419">
        <v>0</v>
      </c>
      <c r="AO419">
        <v>0</v>
      </c>
      <c r="AP419">
        <v>6742969</v>
      </c>
      <c r="AQ419">
        <v>6879753</v>
      </c>
      <c r="AR419">
        <v>3531226</v>
      </c>
      <c r="AS419">
        <v>4106496</v>
      </c>
      <c r="AT419">
        <v>4135147</v>
      </c>
      <c r="AU419">
        <v>0</v>
      </c>
      <c r="AV419">
        <v>0</v>
      </c>
      <c r="AW419">
        <v>0</v>
      </c>
      <c r="AX419">
        <v>567428.25</v>
      </c>
      <c r="AY419">
        <v>0</v>
      </c>
      <c r="AZ419">
        <v>0</v>
      </c>
      <c r="BA419">
        <v>0</v>
      </c>
      <c r="BB419">
        <v>0</v>
      </c>
      <c r="BC419">
        <v>6742968.6875</v>
      </c>
      <c r="BD419">
        <v>6879753</v>
      </c>
      <c r="BE419">
        <v>3531225.75</v>
      </c>
      <c r="BF419">
        <v>4106496</v>
      </c>
      <c r="BG419">
        <v>4135147.0625</v>
      </c>
      <c r="BH419">
        <v>0</v>
      </c>
      <c r="BI419">
        <v>0</v>
      </c>
      <c r="BJ419">
        <v>0</v>
      </c>
      <c r="BK419">
        <v>0</v>
      </c>
      <c r="BL419">
        <v>0</v>
      </c>
      <c r="BM419">
        <v>0</v>
      </c>
      <c r="BN419">
        <v>0</v>
      </c>
      <c r="BO419">
        <v>0</v>
      </c>
      <c r="BP419">
        <v>0</v>
      </c>
      <c r="BQ419">
        <v>0</v>
      </c>
      <c r="BR419">
        <v>0</v>
      </c>
      <c r="BS419">
        <v>0</v>
      </c>
      <c r="BT419">
        <v>0</v>
      </c>
      <c r="BU419">
        <v>0</v>
      </c>
      <c r="BV419">
        <v>0</v>
      </c>
      <c r="BW419">
        <v>0</v>
      </c>
    </row>
    <row r="420" spans="1:75" x14ac:dyDescent="0.55000000000000004">
      <c r="A420">
        <v>1171</v>
      </c>
      <c r="B420">
        <v>15.244999999999999</v>
      </c>
      <c r="C420">
        <v>840.61176</v>
      </c>
      <c r="D420" t="s">
        <v>1374</v>
      </c>
      <c r="E420" t="s">
        <v>1</v>
      </c>
      <c r="F420" t="s">
        <v>2</v>
      </c>
      <c r="G420">
        <v>0.23</v>
      </c>
      <c r="H420" t="b">
        <v>1</v>
      </c>
      <c r="I420">
        <v>10.804</v>
      </c>
      <c r="J420">
        <v>840.61243000000002</v>
      </c>
      <c r="K420" t="s">
        <v>1375</v>
      </c>
      <c r="L420" t="s">
        <v>329</v>
      </c>
      <c r="N420" t="s">
        <v>1376</v>
      </c>
      <c r="O420" t="s">
        <v>1398</v>
      </c>
      <c r="P420">
        <v>410</v>
      </c>
      <c r="Q420" t="b">
        <v>0</v>
      </c>
      <c r="R420" t="b">
        <v>1</v>
      </c>
      <c r="S420" t="b">
        <v>1</v>
      </c>
      <c r="T420" t="s">
        <v>7</v>
      </c>
      <c r="U420" t="b">
        <v>0</v>
      </c>
      <c r="V420" t="b">
        <v>0</v>
      </c>
      <c r="W420">
        <v>1171</v>
      </c>
      <c r="X420">
        <v>0</v>
      </c>
      <c r="Y420">
        <v>0</v>
      </c>
      <c r="Z420">
        <v>1</v>
      </c>
      <c r="AA420">
        <v>0.50700000000000001</v>
      </c>
      <c r="AB420">
        <v>0.61899999999999999</v>
      </c>
      <c r="AC420">
        <v>0.94099999999999995</v>
      </c>
      <c r="AD420">
        <v>5</v>
      </c>
      <c r="AE420">
        <v>2</v>
      </c>
      <c r="AF420">
        <v>2.4300000000000002</v>
      </c>
      <c r="AG420">
        <v>7294.23</v>
      </c>
      <c r="AH420" t="s">
        <v>944</v>
      </c>
      <c r="AI420" t="s">
        <v>1389</v>
      </c>
      <c r="AJ420" t="s">
        <v>1390</v>
      </c>
      <c r="AK420">
        <v>567428</v>
      </c>
      <c r="AL420">
        <v>0</v>
      </c>
      <c r="AM420">
        <v>0</v>
      </c>
      <c r="AN420">
        <v>0</v>
      </c>
      <c r="AO420">
        <v>0</v>
      </c>
      <c r="AP420">
        <v>6742969</v>
      </c>
      <c r="AQ420">
        <v>6879753</v>
      </c>
      <c r="AR420">
        <v>3531226</v>
      </c>
      <c r="AS420">
        <v>4106496</v>
      </c>
      <c r="AT420">
        <v>4135147</v>
      </c>
      <c r="AU420">
        <v>0</v>
      </c>
      <c r="AV420">
        <v>0</v>
      </c>
      <c r="AW420">
        <v>0</v>
      </c>
      <c r="AX420">
        <v>567428.25</v>
      </c>
      <c r="AY420">
        <v>0</v>
      </c>
      <c r="AZ420">
        <v>0</v>
      </c>
      <c r="BA420">
        <v>0</v>
      </c>
      <c r="BB420">
        <v>0</v>
      </c>
      <c r="BC420">
        <v>6742968.6875</v>
      </c>
      <c r="BD420">
        <v>6879753</v>
      </c>
      <c r="BE420">
        <v>3531225.75</v>
      </c>
      <c r="BF420">
        <v>4106496</v>
      </c>
      <c r="BG420">
        <v>4135147.0625</v>
      </c>
      <c r="BH420">
        <v>0</v>
      </c>
      <c r="BI420">
        <v>0</v>
      </c>
      <c r="BJ420">
        <v>0</v>
      </c>
      <c r="BK420">
        <v>0</v>
      </c>
      <c r="BL420">
        <v>0</v>
      </c>
      <c r="BM420">
        <v>0</v>
      </c>
      <c r="BN420">
        <v>0</v>
      </c>
      <c r="BO420">
        <v>0</v>
      </c>
      <c r="BP420">
        <v>0</v>
      </c>
      <c r="BQ420">
        <v>0</v>
      </c>
      <c r="BR420">
        <v>0</v>
      </c>
      <c r="BS420">
        <v>0</v>
      </c>
      <c r="BT420">
        <v>0</v>
      </c>
      <c r="BU420">
        <v>0</v>
      </c>
      <c r="BV420">
        <v>0</v>
      </c>
      <c r="BW420">
        <v>0</v>
      </c>
    </row>
    <row r="421" spans="1:75" x14ac:dyDescent="0.55000000000000004">
      <c r="A421">
        <v>1204</v>
      </c>
      <c r="B421">
        <v>14.332000000000001</v>
      </c>
      <c r="C421">
        <v>842.58936000000006</v>
      </c>
      <c r="D421" t="s">
        <v>1391</v>
      </c>
      <c r="E421" t="s">
        <v>1</v>
      </c>
      <c r="F421" t="s">
        <v>2</v>
      </c>
      <c r="G421">
        <v>0.38</v>
      </c>
      <c r="H421" t="b">
        <v>1</v>
      </c>
      <c r="I421">
        <v>9.6270000000000007</v>
      </c>
      <c r="J421">
        <v>842.59167000000002</v>
      </c>
      <c r="K421" t="s">
        <v>880</v>
      </c>
      <c r="L421" t="s">
        <v>660</v>
      </c>
      <c r="N421" t="s">
        <v>1392</v>
      </c>
      <c r="O421" t="s">
        <v>1398</v>
      </c>
      <c r="P421">
        <v>410</v>
      </c>
      <c r="Q421" t="b">
        <v>0</v>
      </c>
      <c r="R421" t="b">
        <v>1</v>
      </c>
      <c r="S421" t="b">
        <v>1</v>
      </c>
      <c r="T421" t="s">
        <v>7</v>
      </c>
      <c r="U421" t="b">
        <v>0</v>
      </c>
      <c r="V421" t="b">
        <v>0</v>
      </c>
      <c r="W421">
        <v>1204</v>
      </c>
      <c r="X421">
        <v>0</v>
      </c>
      <c r="Y421">
        <v>0</v>
      </c>
      <c r="Z421">
        <v>0.96</v>
      </c>
      <c r="AA421">
        <v>0.58499999999999996</v>
      </c>
      <c r="AB421">
        <v>0.68600000000000005</v>
      </c>
      <c r="AC421">
        <v>0.84699999999999998</v>
      </c>
      <c r="AD421">
        <v>5</v>
      </c>
      <c r="AE421">
        <v>2</v>
      </c>
      <c r="AF421">
        <v>2.403</v>
      </c>
      <c r="AG421">
        <v>1311.45</v>
      </c>
      <c r="AH421" t="s">
        <v>990</v>
      </c>
      <c r="AI421" t="s">
        <v>1394</v>
      </c>
      <c r="AJ421" t="s">
        <v>1395</v>
      </c>
      <c r="AK421">
        <v>65083</v>
      </c>
      <c r="AL421">
        <v>0</v>
      </c>
      <c r="AM421">
        <v>0</v>
      </c>
      <c r="AN421">
        <v>0</v>
      </c>
      <c r="AO421">
        <v>0</v>
      </c>
      <c r="AP421">
        <v>745686</v>
      </c>
      <c r="AQ421">
        <v>757670</v>
      </c>
      <c r="AR421">
        <v>395819</v>
      </c>
      <c r="AS421">
        <v>456219</v>
      </c>
      <c r="AT421">
        <v>458173</v>
      </c>
      <c r="AU421">
        <v>0</v>
      </c>
      <c r="AV421">
        <v>0</v>
      </c>
      <c r="AW421">
        <v>0</v>
      </c>
      <c r="AX421">
        <v>65083.4375</v>
      </c>
      <c r="AY421">
        <v>0</v>
      </c>
      <c r="AZ421">
        <v>0</v>
      </c>
      <c r="BA421">
        <v>0</v>
      </c>
      <c r="BB421">
        <v>0</v>
      </c>
      <c r="BC421">
        <v>745685.8125</v>
      </c>
      <c r="BD421">
        <v>757669.875</v>
      </c>
      <c r="BE421">
        <v>395818.5625</v>
      </c>
      <c r="BF421">
        <v>456219.375</v>
      </c>
      <c r="BG421">
        <v>458172.9375</v>
      </c>
      <c r="BH421">
        <v>0</v>
      </c>
      <c r="BI421">
        <v>0</v>
      </c>
      <c r="BJ421">
        <v>0</v>
      </c>
      <c r="BK421">
        <v>0</v>
      </c>
      <c r="BL421">
        <v>0</v>
      </c>
      <c r="BM421">
        <v>0</v>
      </c>
      <c r="BN421">
        <v>0</v>
      </c>
      <c r="BO421">
        <v>0</v>
      </c>
      <c r="BP421">
        <v>0</v>
      </c>
      <c r="BQ421">
        <v>0</v>
      </c>
      <c r="BR421">
        <v>0</v>
      </c>
      <c r="BS421">
        <v>0</v>
      </c>
      <c r="BT421">
        <v>0</v>
      </c>
      <c r="BU421">
        <v>0</v>
      </c>
      <c r="BV421">
        <v>0</v>
      </c>
      <c r="BW421">
        <v>0</v>
      </c>
    </row>
    <row r="422" spans="1:75" x14ac:dyDescent="0.55000000000000004">
      <c r="A422">
        <v>1205</v>
      </c>
      <c r="B422">
        <v>14.565</v>
      </c>
      <c r="C422">
        <v>842.58989999999994</v>
      </c>
      <c r="D422" t="s">
        <v>1396</v>
      </c>
      <c r="E422" t="s">
        <v>1</v>
      </c>
      <c r="F422" t="s">
        <v>2</v>
      </c>
      <c r="G422">
        <v>0.23</v>
      </c>
      <c r="H422" t="b">
        <v>1</v>
      </c>
      <c r="I422">
        <v>10.249000000000001</v>
      </c>
      <c r="J422">
        <v>842.59167000000002</v>
      </c>
      <c r="K422" t="s">
        <v>880</v>
      </c>
      <c r="L422" t="s">
        <v>660</v>
      </c>
      <c r="N422" t="s">
        <v>1397</v>
      </c>
      <c r="O422" t="s">
        <v>896</v>
      </c>
      <c r="P422">
        <v>410</v>
      </c>
      <c r="Q422" t="b">
        <v>0</v>
      </c>
      <c r="R422" t="b">
        <v>1</v>
      </c>
      <c r="S422" t="b">
        <v>1</v>
      </c>
      <c r="T422" t="s">
        <v>7</v>
      </c>
      <c r="U422" t="b">
        <v>0</v>
      </c>
      <c r="V422" t="b">
        <v>0</v>
      </c>
      <c r="W422">
        <v>1205</v>
      </c>
      <c r="X422">
        <v>0</v>
      </c>
      <c r="Y422">
        <v>0</v>
      </c>
      <c r="Z422">
        <v>0.99</v>
      </c>
      <c r="AA422">
        <v>0.58099999999999996</v>
      </c>
      <c r="AB422">
        <v>0.68</v>
      </c>
      <c r="AC422">
        <v>0.82899999999999996</v>
      </c>
      <c r="AD422">
        <v>5</v>
      </c>
      <c r="AE422">
        <v>2</v>
      </c>
      <c r="AF422">
        <v>2.4089999999999998</v>
      </c>
      <c r="AG422">
        <v>1168.51</v>
      </c>
      <c r="AH422" t="s">
        <v>454</v>
      </c>
      <c r="AI422" t="s">
        <v>1399</v>
      </c>
      <c r="AJ422" t="s">
        <v>1400</v>
      </c>
      <c r="AK422">
        <v>133161</v>
      </c>
      <c r="AL422">
        <v>0</v>
      </c>
      <c r="AM422">
        <v>0</v>
      </c>
      <c r="AN422">
        <v>0</v>
      </c>
      <c r="AO422">
        <v>0</v>
      </c>
      <c r="AP422">
        <v>1138457</v>
      </c>
      <c r="AQ422">
        <v>1155314</v>
      </c>
      <c r="AR422">
        <v>631993</v>
      </c>
      <c r="AS422">
        <v>711504</v>
      </c>
      <c r="AT422">
        <v>729800</v>
      </c>
      <c r="AU422">
        <v>0</v>
      </c>
      <c r="AV422">
        <v>0</v>
      </c>
      <c r="AW422">
        <v>0</v>
      </c>
      <c r="AX422">
        <v>133160.8125</v>
      </c>
      <c r="AY422">
        <v>0</v>
      </c>
      <c r="AZ422">
        <v>0</v>
      </c>
      <c r="BA422">
        <v>0</v>
      </c>
      <c r="BB422">
        <v>0</v>
      </c>
      <c r="BC422">
        <v>1138457.4375</v>
      </c>
      <c r="BD422">
        <v>1155314.375</v>
      </c>
      <c r="BE422">
        <v>631992.625</v>
      </c>
      <c r="BF422">
        <v>711504.125</v>
      </c>
      <c r="BG422">
        <v>729799.625</v>
      </c>
      <c r="BH422">
        <v>0</v>
      </c>
      <c r="BI422">
        <v>0</v>
      </c>
      <c r="BJ422">
        <v>0</v>
      </c>
      <c r="BK422">
        <v>0</v>
      </c>
      <c r="BL422">
        <v>0</v>
      </c>
      <c r="BM422">
        <v>0</v>
      </c>
      <c r="BN422">
        <v>0</v>
      </c>
      <c r="BO422">
        <v>0</v>
      </c>
      <c r="BP422">
        <v>0</v>
      </c>
      <c r="BQ422">
        <v>0</v>
      </c>
      <c r="BR422">
        <v>0</v>
      </c>
      <c r="BS422">
        <v>0</v>
      </c>
      <c r="BT422">
        <v>0</v>
      </c>
      <c r="BU422">
        <v>0</v>
      </c>
      <c r="BV422">
        <v>0</v>
      </c>
      <c r="BW422">
        <v>0</v>
      </c>
    </row>
    <row r="423" spans="1:75" x14ac:dyDescent="0.55000000000000004">
      <c r="A423">
        <v>1206</v>
      </c>
      <c r="B423">
        <v>14.47</v>
      </c>
      <c r="C423">
        <v>842.58989999999994</v>
      </c>
      <c r="D423" t="s">
        <v>1396</v>
      </c>
      <c r="E423" t="s">
        <v>1</v>
      </c>
      <c r="F423" t="s">
        <v>2</v>
      </c>
      <c r="G423">
        <v>0.31</v>
      </c>
      <c r="H423" t="b">
        <v>1</v>
      </c>
      <c r="I423">
        <v>10.249000000000001</v>
      </c>
      <c r="J423">
        <v>842.59167000000002</v>
      </c>
      <c r="K423" t="s">
        <v>880</v>
      </c>
      <c r="L423" t="s">
        <v>660</v>
      </c>
      <c r="N423" t="s">
        <v>1397</v>
      </c>
      <c r="O423" t="s">
        <v>1408</v>
      </c>
      <c r="P423">
        <v>410</v>
      </c>
      <c r="Q423" t="b">
        <v>0</v>
      </c>
      <c r="R423" t="b">
        <v>1</v>
      </c>
      <c r="S423" t="b">
        <v>1</v>
      </c>
      <c r="T423" t="s">
        <v>7</v>
      </c>
      <c r="U423" t="b">
        <v>0</v>
      </c>
      <c r="V423" t="b">
        <v>0</v>
      </c>
      <c r="W423">
        <v>1206</v>
      </c>
      <c r="X423">
        <v>0</v>
      </c>
      <c r="Y423">
        <v>0</v>
      </c>
      <c r="Z423">
        <v>0.99</v>
      </c>
      <c r="AA423">
        <v>0.57699999999999996</v>
      </c>
      <c r="AB423">
        <v>0.67900000000000005</v>
      </c>
      <c r="AC423">
        <v>0.81499999999999995</v>
      </c>
      <c r="AD423">
        <v>5</v>
      </c>
      <c r="AE423">
        <v>2</v>
      </c>
      <c r="AF423">
        <v>2.399</v>
      </c>
      <c r="AG423">
        <v>1937.99</v>
      </c>
      <c r="AH423" t="s">
        <v>944</v>
      </c>
      <c r="AI423" t="s">
        <v>1401</v>
      </c>
      <c r="AJ423" t="s">
        <v>1402</v>
      </c>
      <c r="AK423">
        <v>65083</v>
      </c>
      <c r="AL423">
        <v>0</v>
      </c>
      <c r="AM423">
        <v>0</v>
      </c>
      <c r="AN423">
        <v>0</v>
      </c>
      <c r="AO423">
        <v>0</v>
      </c>
      <c r="AP423">
        <v>1138457</v>
      </c>
      <c r="AQ423">
        <v>1155314</v>
      </c>
      <c r="AR423">
        <v>631993</v>
      </c>
      <c r="AS423">
        <v>711504</v>
      </c>
      <c r="AT423">
        <v>729800</v>
      </c>
      <c r="AU423">
        <v>0</v>
      </c>
      <c r="AV423">
        <v>0</v>
      </c>
      <c r="AW423">
        <v>0</v>
      </c>
      <c r="AX423">
        <v>65083.4375</v>
      </c>
      <c r="AY423">
        <v>0</v>
      </c>
      <c r="AZ423">
        <v>0</v>
      </c>
      <c r="BA423">
        <v>0</v>
      </c>
      <c r="BB423">
        <v>0</v>
      </c>
      <c r="BC423">
        <v>1138457.4375</v>
      </c>
      <c r="BD423">
        <v>1155314.375</v>
      </c>
      <c r="BE423">
        <v>631992.625</v>
      </c>
      <c r="BF423">
        <v>711504.125</v>
      </c>
      <c r="BG423">
        <v>729799.625</v>
      </c>
      <c r="BH423">
        <v>0</v>
      </c>
      <c r="BI423">
        <v>0</v>
      </c>
      <c r="BJ423">
        <v>0</v>
      </c>
      <c r="BK423">
        <v>0</v>
      </c>
      <c r="BL423">
        <v>0</v>
      </c>
      <c r="BM423">
        <v>0</v>
      </c>
      <c r="BN423">
        <v>0</v>
      </c>
      <c r="BO423">
        <v>0</v>
      </c>
      <c r="BP423">
        <v>0</v>
      </c>
      <c r="BQ423">
        <v>0</v>
      </c>
      <c r="BR423">
        <v>0</v>
      </c>
      <c r="BS423">
        <v>0</v>
      </c>
      <c r="BT423">
        <v>0</v>
      </c>
      <c r="BU423">
        <v>0</v>
      </c>
      <c r="BV423">
        <v>0</v>
      </c>
      <c r="BW423">
        <v>0</v>
      </c>
    </row>
    <row r="424" spans="1:75" x14ac:dyDescent="0.55000000000000004">
      <c r="A424">
        <v>1211</v>
      </c>
      <c r="B424">
        <v>17.283999999999999</v>
      </c>
      <c r="C424">
        <v>842.67229999999995</v>
      </c>
      <c r="D424" t="s">
        <v>893</v>
      </c>
      <c r="E424" t="s">
        <v>1</v>
      </c>
      <c r="F424" t="s">
        <v>2</v>
      </c>
      <c r="G424">
        <v>0.46</v>
      </c>
      <c r="H424" t="b">
        <v>1</v>
      </c>
      <c r="I424">
        <v>12.92</v>
      </c>
      <c r="J424">
        <v>842.67273</v>
      </c>
      <c r="K424" t="s">
        <v>894</v>
      </c>
      <c r="L424" t="s">
        <v>650</v>
      </c>
      <c r="N424" t="s">
        <v>895</v>
      </c>
      <c r="O424" t="s">
        <v>1413</v>
      </c>
      <c r="P424">
        <v>410</v>
      </c>
      <c r="Q424" t="b">
        <v>0</v>
      </c>
      <c r="R424" t="b">
        <v>1</v>
      </c>
      <c r="S424" t="b">
        <v>1</v>
      </c>
      <c r="T424" t="s">
        <v>7</v>
      </c>
      <c r="U424" t="b">
        <v>0</v>
      </c>
      <c r="V424" t="b">
        <v>0</v>
      </c>
      <c r="W424">
        <v>1211</v>
      </c>
      <c r="X424">
        <v>0</v>
      </c>
      <c r="Y424">
        <v>0</v>
      </c>
      <c r="Z424">
        <v>1</v>
      </c>
      <c r="AA424">
        <v>0.48799999999999999</v>
      </c>
      <c r="AB424">
        <v>0.76500000000000001</v>
      </c>
      <c r="AC424">
        <v>0.90900000000000003</v>
      </c>
      <c r="AD424">
        <v>5</v>
      </c>
      <c r="AE424">
        <v>2</v>
      </c>
      <c r="AF424">
        <v>2.4430000000000001</v>
      </c>
      <c r="AG424">
        <v>3400.73</v>
      </c>
      <c r="AH424" t="s">
        <v>927</v>
      </c>
      <c r="AI424" t="s">
        <v>1403</v>
      </c>
      <c r="AJ424" t="s">
        <v>1404</v>
      </c>
      <c r="AK424">
        <v>113800</v>
      </c>
      <c r="AL424">
        <v>0</v>
      </c>
      <c r="AM424">
        <v>0</v>
      </c>
      <c r="AN424">
        <v>0</v>
      </c>
      <c r="AO424">
        <v>0</v>
      </c>
      <c r="AP424">
        <v>1643255</v>
      </c>
      <c r="AQ424">
        <v>1667011</v>
      </c>
      <c r="AR424">
        <v>810973</v>
      </c>
      <c r="AS424">
        <v>980341</v>
      </c>
      <c r="AT424">
        <v>978006</v>
      </c>
      <c r="AU424">
        <v>0</v>
      </c>
      <c r="AV424">
        <v>0</v>
      </c>
      <c r="AW424">
        <v>0</v>
      </c>
      <c r="AX424">
        <v>113800.0625</v>
      </c>
      <c r="AY424">
        <v>0</v>
      </c>
      <c r="AZ424">
        <v>0</v>
      </c>
      <c r="BA424">
        <v>0</v>
      </c>
      <c r="BB424">
        <v>0</v>
      </c>
      <c r="BC424">
        <v>1643255</v>
      </c>
      <c r="BD424">
        <v>1667011.125</v>
      </c>
      <c r="BE424">
        <v>810973.375</v>
      </c>
      <c r="BF424">
        <v>980340.5625</v>
      </c>
      <c r="BG424">
        <v>978006.1875</v>
      </c>
      <c r="BH424">
        <v>0</v>
      </c>
      <c r="BI424">
        <v>0</v>
      </c>
      <c r="BJ424">
        <v>0</v>
      </c>
      <c r="BK424">
        <v>0</v>
      </c>
      <c r="BL424">
        <v>0</v>
      </c>
      <c r="BM424">
        <v>0</v>
      </c>
      <c r="BN424">
        <v>0</v>
      </c>
      <c r="BO424">
        <v>0</v>
      </c>
      <c r="BP424">
        <v>0</v>
      </c>
      <c r="BQ424">
        <v>0</v>
      </c>
      <c r="BR424">
        <v>0</v>
      </c>
      <c r="BS424">
        <v>0</v>
      </c>
      <c r="BT424">
        <v>0</v>
      </c>
      <c r="BU424">
        <v>0</v>
      </c>
      <c r="BV424">
        <v>0</v>
      </c>
      <c r="BW424">
        <v>0</v>
      </c>
    </row>
    <row r="425" spans="1:75" x14ac:dyDescent="0.55000000000000004">
      <c r="A425">
        <v>1221</v>
      </c>
      <c r="B425">
        <v>16.227</v>
      </c>
      <c r="C425">
        <v>843.65881000000002</v>
      </c>
      <c r="D425" t="s">
        <v>1405</v>
      </c>
      <c r="E425" t="s">
        <v>1</v>
      </c>
      <c r="F425" t="s">
        <v>2</v>
      </c>
      <c r="G425">
        <v>0.31</v>
      </c>
      <c r="H425" t="b">
        <v>1</v>
      </c>
      <c r="I425">
        <v>11.404</v>
      </c>
      <c r="J425">
        <v>843.65972999999997</v>
      </c>
      <c r="K425" t="s">
        <v>1406</v>
      </c>
      <c r="L425" t="s">
        <v>181</v>
      </c>
      <c r="N425" t="s">
        <v>1407</v>
      </c>
      <c r="O425" t="s">
        <v>1413</v>
      </c>
      <c r="P425">
        <v>410</v>
      </c>
      <c r="Q425" t="b">
        <v>0</v>
      </c>
      <c r="R425" t="b">
        <v>1</v>
      </c>
      <c r="S425" t="b">
        <v>1</v>
      </c>
      <c r="T425" t="s">
        <v>7</v>
      </c>
      <c r="U425" t="b">
        <v>0</v>
      </c>
      <c r="V425" t="b">
        <v>0</v>
      </c>
      <c r="W425">
        <v>1221</v>
      </c>
      <c r="X425">
        <v>0</v>
      </c>
      <c r="Y425">
        <v>0</v>
      </c>
      <c r="Z425">
        <v>1</v>
      </c>
      <c r="AA425">
        <v>0.82099999999999995</v>
      </c>
      <c r="AB425">
        <v>0.90900000000000003</v>
      </c>
      <c r="AC425">
        <v>0.95</v>
      </c>
      <c r="AD425">
        <v>5</v>
      </c>
      <c r="AE425">
        <v>2</v>
      </c>
      <c r="AF425">
        <v>2.5630000000000002</v>
      </c>
      <c r="AG425">
        <v>23481.38</v>
      </c>
      <c r="AH425" t="s">
        <v>454</v>
      </c>
      <c r="AI425" t="s">
        <v>1409</v>
      </c>
      <c r="AJ425" t="s">
        <v>1410</v>
      </c>
      <c r="AK425">
        <v>592940</v>
      </c>
      <c r="AL425">
        <v>0</v>
      </c>
      <c r="AM425">
        <v>0</v>
      </c>
      <c r="AN425">
        <v>0</v>
      </c>
      <c r="AO425">
        <v>0</v>
      </c>
      <c r="AP425">
        <v>13762242</v>
      </c>
      <c r="AQ425">
        <v>14120755</v>
      </c>
      <c r="AR425">
        <v>7977899</v>
      </c>
      <c r="AS425">
        <v>4676877</v>
      </c>
      <c r="AT425">
        <v>8616787</v>
      </c>
      <c r="AU425">
        <v>0</v>
      </c>
      <c r="AV425">
        <v>0</v>
      </c>
      <c r="AW425">
        <v>0</v>
      </c>
      <c r="AX425">
        <v>592939.5</v>
      </c>
      <c r="AY425">
        <v>0</v>
      </c>
      <c r="AZ425">
        <v>0</v>
      </c>
      <c r="BA425">
        <v>0</v>
      </c>
      <c r="BB425">
        <v>0</v>
      </c>
      <c r="BC425">
        <v>13762242.3125</v>
      </c>
      <c r="BD425">
        <v>14120754.5625</v>
      </c>
      <c r="BE425">
        <v>7977899.125</v>
      </c>
      <c r="BF425">
        <v>4676876.625</v>
      </c>
      <c r="BG425">
        <v>8616786.875</v>
      </c>
      <c r="BH425">
        <v>0</v>
      </c>
      <c r="BI425">
        <v>0</v>
      </c>
      <c r="BJ425">
        <v>0</v>
      </c>
      <c r="BK425">
        <v>0</v>
      </c>
      <c r="BL425">
        <v>0</v>
      </c>
      <c r="BM425">
        <v>0</v>
      </c>
      <c r="BN425">
        <v>0</v>
      </c>
      <c r="BO425">
        <v>0</v>
      </c>
      <c r="BP425">
        <v>0</v>
      </c>
      <c r="BQ425">
        <v>0</v>
      </c>
      <c r="BR425">
        <v>0</v>
      </c>
      <c r="BS425">
        <v>0</v>
      </c>
      <c r="BT425">
        <v>0</v>
      </c>
      <c r="BU425">
        <v>0</v>
      </c>
      <c r="BV425">
        <v>0</v>
      </c>
      <c r="BW425">
        <v>0</v>
      </c>
    </row>
    <row r="426" spans="1:75" x14ac:dyDescent="0.55000000000000004">
      <c r="A426">
        <v>1237</v>
      </c>
      <c r="B426">
        <v>15.417999999999999</v>
      </c>
      <c r="C426">
        <v>844.60479999999995</v>
      </c>
      <c r="D426" t="s">
        <v>1411</v>
      </c>
      <c r="E426" t="s">
        <v>1</v>
      </c>
      <c r="F426" t="s">
        <v>2</v>
      </c>
      <c r="G426">
        <v>0.23</v>
      </c>
      <c r="H426" t="b">
        <v>1</v>
      </c>
      <c r="I426">
        <v>10.471</v>
      </c>
      <c r="J426">
        <v>844.60730000000001</v>
      </c>
      <c r="K426" t="s">
        <v>913</v>
      </c>
      <c r="L426" t="s">
        <v>660</v>
      </c>
      <c r="N426" t="s">
        <v>1412</v>
      </c>
      <c r="O426" t="s">
        <v>1421</v>
      </c>
      <c r="P426">
        <v>410</v>
      </c>
      <c r="Q426" t="b">
        <v>0</v>
      </c>
      <c r="R426" t="b">
        <v>1</v>
      </c>
      <c r="S426" t="b">
        <v>1</v>
      </c>
      <c r="T426" t="s">
        <v>7</v>
      </c>
      <c r="U426" t="b">
        <v>0</v>
      </c>
      <c r="V426" t="b">
        <v>0</v>
      </c>
      <c r="W426">
        <v>1237</v>
      </c>
      <c r="X426">
        <v>0</v>
      </c>
      <c r="Y426">
        <v>0</v>
      </c>
      <c r="Z426">
        <v>1</v>
      </c>
      <c r="AA426">
        <v>0.498</v>
      </c>
      <c r="AB426">
        <v>0.60499999999999998</v>
      </c>
      <c r="AC426">
        <v>0.89200000000000002</v>
      </c>
      <c r="AD426">
        <v>5</v>
      </c>
      <c r="AE426">
        <v>2</v>
      </c>
      <c r="AF426">
        <v>2.403</v>
      </c>
      <c r="AG426">
        <v>1354.95</v>
      </c>
      <c r="AH426" t="s">
        <v>454</v>
      </c>
      <c r="AI426" t="s">
        <v>1414</v>
      </c>
      <c r="AJ426" t="s">
        <v>1415</v>
      </c>
      <c r="AK426">
        <v>103168</v>
      </c>
      <c r="AL426">
        <v>0</v>
      </c>
      <c r="AM426">
        <v>0</v>
      </c>
      <c r="AN426">
        <v>0</v>
      </c>
      <c r="AO426">
        <v>0</v>
      </c>
      <c r="AP426">
        <v>1102032</v>
      </c>
      <c r="AQ426">
        <v>1109049</v>
      </c>
      <c r="AR426">
        <v>577576</v>
      </c>
      <c r="AS426">
        <v>670877</v>
      </c>
      <c r="AT426">
        <v>684312</v>
      </c>
      <c r="AU426">
        <v>0</v>
      </c>
      <c r="AV426">
        <v>0</v>
      </c>
      <c r="AW426">
        <v>0</v>
      </c>
      <c r="AX426">
        <v>103168</v>
      </c>
      <c r="AY426">
        <v>0</v>
      </c>
      <c r="AZ426">
        <v>0</v>
      </c>
      <c r="BA426">
        <v>0</v>
      </c>
      <c r="BB426">
        <v>0</v>
      </c>
      <c r="BC426">
        <v>1102031.8125</v>
      </c>
      <c r="BD426">
        <v>1109049.0625</v>
      </c>
      <c r="BE426">
        <v>577576</v>
      </c>
      <c r="BF426">
        <v>670877.125</v>
      </c>
      <c r="BG426">
        <v>684312.1875</v>
      </c>
      <c r="BH426">
        <v>0</v>
      </c>
      <c r="BI426">
        <v>0</v>
      </c>
      <c r="BJ426">
        <v>0</v>
      </c>
      <c r="BK426">
        <v>0</v>
      </c>
      <c r="BL426">
        <v>0</v>
      </c>
      <c r="BM426">
        <v>0</v>
      </c>
      <c r="BN426">
        <v>0</v>
      </c>
      <c r="BO426">
        <v>0</v>
      </c>
      <c r="BP426">
        <v>0</v>
      </c>
      <c r="BQ426">
        <v>0</v>
      </c>
      <c r="BR426">
        <v>0</v>
      </c>
      <c r="BS426">
        <v>0</v>
      </c>
      <c r="BT426">
        <v>0</v>
      </c>
      <c r="BU426">
        <v>0</v>
      </c>
      <c r="BV426">
        <v>0</v>
      </c>
      <c r="BW426">
        <v>0</v>
      </c>
    </row>
    <row r="427" spans="1:75" x14ac:dyDescent="0.55000000000000004">
      <c r="A427">
        <v>1238</v>
      </c>
      <c r="B427">
        <v>15.183</v>
      </c>
      <c r="C427">
        <v>844.60504000000003</v>
      </c>
      <c r="D427" t="s">
        <v>1411</v>
      </c>
      <c r="E427" t="s">
        <v>1</v>
      </c>
      <c r="F427" t="s">
        <v>2</v>
      </c>
      <c r="G427">
        <v>0.38</v>
      </c>
      <c r="H427" t="b">
        <v>1</v>
      </c>
      <c r="I427">
        <v>10.471</v>
      </c>
      <c r="J427">
        <v>844.60730000000001</v>
      </c>
      <c r="K427" t="s">
        <v>913</v>
      </c>
      <c r="L427" t="s">
        <v>660</v>
      </c>
      <c r="N427" t="s">
        <v>1412</v>
      </c>
      <c r="O427" t="s">
        <v>1427</v>
      </c>
      <c r="P427">
        <v>410</v>
      </c>
      <c r="Q427" t="b">
        <v>0</v>
      </c>
      <c r="R427" t="b">
        <v>1</v>
      </c>
      <c r="S427" t="b">
        <v>1</v>
      </c>
      <c r="T427" t="s">
        <v>7</v>
      </c>
      <c r="U427" t="b">
        <v>0</v>
      </c>
      <c r="V427" t="b">
        <v>0</v>
      </c>
      <c r="W427">
        <v>1238</v>
      </c>
      <c r="X427">
        <v>0</v>
      </c>
      <c r="Y427">
        <v>0</v>
      </c>
      <c r="Z427">
        <v>0.97</v>
      </c>
      <c r="AA427">
        <v>0.505</v>
      </c>
      <c r="AB427">
        <v>0.61099999999999999</v>
      </c>
      <c r="AC427">
        <v>0.91200000000000003</v>
      </c>
      <c r="AD427">
        <v>5</v>
      </c>
      <c r="AE427">
        <v>2</v>
      </c>
      <c r="AF427">
        <v>2.4</v>
      </c>
      <c r="AG427">
        <v>663.23</v>
      </c>
      <c r="AH427" t="s">
        <v>927</v>
      </c>
      <c r="AI427" t="s">
        <v>1416</v>
      </c>
      <c r="AJ427" t="s">
        <v>1417</v>
      </c>
      <c r="AK427">
        <v>31291</v>
      </c>
      <c r="AL427">
        <v>0</v>
      </c>
      <c r="AM427">
        <v>0</v>
      </c>
      <c r="AN427">
        <v>0</v>
      </c>
      <c r="AO427">
        <v>0</v>
      </c>
      <c r="AP427">
        <v>337394</v>
      </c>
      <c r="AQ427">
        <v>342980</v>
      </c>
      <c r="AR427">
        <v>181538</v>
      </c>
      <c r="AS427">
        <v>209448</v>
      </c>
      <c r="AT427">
        <v>207804</v>
      </c>
      <c r="AU427">
        <v>0</v>
      </c>
      <c r="AV427">
        <v>0</v>
      </c>
      <c r="AW427">
        <v>0</v>
      </c>
      <c r="AX427">
        <v>31291</v>
      </c>
      <c r="AY427">
        <v>0</v>
      </c>
      <c r="AZ427">
        <v>0</v>
      </c>
      <c r="BA427">
        <v>0</v>
      </c>
      <c r="BB427">
        <v>0</v>
      </c>
      <c r="BC427">
        <v>337393.625</v>
      </c>
      <c r="BD427">
        <v>342979.8125</v>
      </c>
      <c r="BE427">
        <v>181538.375</v>
      </c>
      <c r="BF427">
        <v>209447.875</v>
      </c>
      <c r="BG427">
        <v>207803.9375</v>
      </c>
      <c r="BH427">
        <v>0</v>
      </c>
      <c r="BI427">
        <v>0</v>
      </c>
      <c r="BJ427">
        <v>0</v>
      </c>
      <c r="BK427">
        <v>0</v>
      </c>
      <c r="BL427">
        <v>0</v>
      </c>
      <c r="BM427">
        <v>0</v>
      </c>
      <c r="BN427">
        <v>0</v>
      </c>
      <c r="BO427">
        <v>0</v>
      </c>
      <c r="BP427">
        <v>0</v>
      </c>
      <c r="BQ427">
        <v>0</v>
      </c>
      <c r="BR427">
        <v>0</v>
      </c>
      <c r="BS427">
        <v>0</v>
      </c>
      <c r="BT427">
        <v>0</v>
      </c>
      <c r="BU427">
        <v>0</v>
      </c>
      <c r="BV427">
        <v>0</v>
      </c>
      <c r="BW427">
        <v>0</v>
      </c>
    </row>
    <row r="428" spans="1:75" x14ac:dyDescent="0.55000000000000004">
      <c r="A428">
        <v>1241</v>
      </c>
      <c r="B428">
        <v>16.7</v>
      </c>
      <c r="C428">
        <v>844.64935000000003</v>
      </c>
      <c r="D428" t="s">
        <v>1418</v>
      </c>
      <c r="E428" t="s">
        <v>1</v>
      </c>
      <c r="F428" t="s">
        <v>2</v>
      </c>
      <c r="G428">
        <v>0.31</v>
      </c>
      <c r="H428" t="b">
        <v>1</v>
      </c>
      <c r="I428">
        <v>11.788</v>
      </c>
      <c r="J428">
        <v>844.65192000000002</v>
      </c>
      <c r="K428" t="s">
        <v>1419</v>
      </c>
      <c r="L428" t="s">
        <v>1097</v>
      </c>
      <c r="N428" t="s">
        <v>1420</v>
      </c>
      <c r="O428" t="s">
        <v>1433</v>
      </c>
      <c r="P428">
        <v>410</v>
      </c>
      <c r="Q428" t="b">
        <v>0</v>
      </c>
      <c r="R428" t="b">
        <v>1</v>
      </c>
      <c r="S428" t="b">
        <v>1</v>
      </c>
      <c r="T428" t="s">
        <v>7</v>
      </c>
      <c r="U428" t="b">
        <v>0</v>
      </c>
      <c r="V428" t="b">
        <v>0</v>
      </c>
      <c r="W428">
        <v>1241</v>
      </c>
      <c r="X428">
        <v>0</v>
      </c>
      <c r="Y428">
        <v>0</v>
      </c>
      <c r="Z428">
        <v>0.97</v>
      </c>
      <c r="AA428">
        <v>0.40400000000000003</v>
      </c>
      <c r="AB428">
        <v>0.60099999999999998</v>
      </c>
      <c r="AC428">
        <v>0.877</v>
      </c>
      <c r="AD428">
        <v>5</v>
      </c>
      <c r="AE428">
        <v>2</v>
      </c>
      <c r="AF428">
        <v>2.36</v>
      </c>
      <c r="AG428">
        <v>581.57000000000005</v>
      </c>
      <c r="AH428" t="s">
        <v>927</v>
      </c>
      <c r="AI428" t="s">
        <v>1422</v>
      </c>
      <c r="AJ428" t="s">
        <v>1423</v>
      </c>
      <c r="AK428">
        <v>42668</v>
      </c>
      <c r="AL428">
        <v>0</v>
      </c>
      <c r="AM428">
        <v>0</v>
      </c>
      <c r="AN428">
        <v>0</v>
      </c>
      <c r="AO428">
        <v>0</v>
      </c>
      <c r="AP428">
        <v>277102</v>
      </c>
      <c r="AQ428">
        <v>285266</v>
      </c>
      <c r="AR428">
        <v>174355</v>
      </c>
      <c r="AS428">
        <v>205339</v>
      </c>
      <c r="AT428">
        <v>186343</v>
      </c>
      <c r="AU428">
        <v>0</v>
      </c>
      <c r="AV428">
        <v>0</v>
      </c>
      <c r="AW428">
        <v>0</v>
      </c>
      <c r="AX428">
        <v>42668.125</v>
      </c>
      <c r="AY428">
        <v>0</v>
      </c>
      <c r="AZ428">
        <v>0</v>
      </c>
      <c r="BA428">
        <v>0</v>
      </c>
      <c r="BB428">
        <v>0</v>
      </c>
      <c r="BC428">
        <v>277102.125</v>
      </c>
      <c r="BD428">
        <v>285265.8125</v>
      </c>
      <c r="BE428">
        <v>174354.625</v>
      </c>
      <c r="BF428">
        <v>205339</v>
      </c>
      <c r="BG428">
        <v>186343.1875</v>
      </c>
      <c r="BH428">
        <v>0</v>
      </c>
      <c r="BI428">
        <v>0</v>
      </c>
      <c r="BJ428">
        <v>0</v>
      </c>
      <c r="BK428">
        <v>0</v>
      </c>
      <c r="BL428">
        <v>0</v>
      </c>
      <c r="BM428">
        <v>0</v>
      </c>
      <c r="BN428">
        <v>0</v>
      </c>
      <c r="BO428">
        <v>0</v>
      </c>
      <c r="BP428">
        <v>0</v>
      </c>
      <c r="BQ428">
        <v>0</v>
      </c>
      <c r="BR428">
        <v>0</v>
      </c>
      <c r="BS428">
        <v>0</v>
      </c>
      <c r="BT428">
        <v>0</v>
      </c>
      <c r="BU428">
        <v>0</v>
      </c>
      <c r="BV428">
        <v>0</v>
      </c>
      <c r="BW428">
        <v>0</v>
      </c>
    </row>
    <row r="429" spans="1:75" x14ac:dyDescent="0.55000000000000004">
      <c r="A429">
        <v>1268</v>
      </c>
      <c r="B429">
        <v>16.149999999999999</v>
      </c>
      <c r="C429">
        <v>846.62090999999998</v>
      </c>
      <c r="D429" t="s">
        <v>1424</v>
      </c>
      <c r="E429" t="s">
        <v>1</v>
      </c>
      <c r="F429" t="s">
        <v>2</v>
      </c>
      <c r="G429">
        <v>0.38</v>
      </c>
      <c r="H429" t="b">
        <v>1</v>
      </c>
      <c r="I429">
        <v>11.455</v>
      </c>
      <c r="J429">
        <v>846.62298999999996</v>
      </c>
      <c r="K429" t="s">
        <v>1425</v>
      </c>
      <c r="L429" t="s">
        <v>660</v>
      </c>
      <c r="N429" t="s">
        <v>1426</v>
      </c>
      <c r="O429" t="s">
        <v>1439</v>
      </c>
      <c r="P429">
        <v>410</v>
      </c>
      <c r="Q429" t="b">
        <v>0</v>
      </c>
      <c r="R429" t="b">
        <v>1</v>
      </c>
      <c r="S429" t="b">
        <v>1</v>
      </c>
      <c r="T429" t="s">
        <v>7</v>
      </c>
      <c r="U429" t="b">
        <v>0</v>
      </c>
      <c r="V429" t="b">
        <v>0</v>
      </c>
      <c r="W429">
        <v>1268</v>
      </c>
      <c r="X429">
        <v>0</v>
      </c>
      <c r="Y429">
        <v>0</v>
      </c>
      <c r="Z429">
        <v>0.99</v>
      </c>
      <c r="AA429">
        <v>0.434</v>
      </c>
      <c r="AB429">
        <v>0.55100000000000005</v>
      </c>
      <c r="AC429">
        <v>0.873</v>
      </c>
      <c r="AD429">
        <v>4</v>
      </c>
      <c r="AE429">
        <v>2</v>
      </c>
      <c r="AF429">
        <v>2.363</v>
      </c>
      <c r="AG429">
        <v>703.68</v>
      </c>
      <c r="AH429" t="s">
        <v>927</v>
      </c>
      <c r="AI429" t="s">
        <v>1428</v>
      </c>
      <c r="AJ429" t="s">
        <v>1429</v>
      </c>
      <c r="AK429">
        <v>21708</v>
      </c>
      <c r="AL429">
        <v>0</v>
      </c>
      <c r="AM429">
        <v>0</v>
      </c>
      <c r="AN429">
        <v>0</v>
      </c>
      <c r="AO429">
        <v>0</v>
      </c>
      <c r="AP429">
        <v>271411</v>
      </c>
      <c r="AQ429">
        <v>275310</v>
      </c>
      <c r="AR429">
        <v>140430</v>
      </c>
      <c r="AS429">
        <v>170235</v>
      </c>
      <c r="AT429">
        <v>164310</v>
      </c>
      <c r="AU429">
        <v>0</v>
      </c>
      <c r="AV429">
        <v>0</v>
      </c>
      <c r="AW429">
        <v>0</v>
      </c>
      <c r="AX429">
        <v>21707.9375</v>
      </c>
      <c r="AY429">
        <v>0</v>
      </c>
      <c r="AZ429">
        <v>0</v>
      </c>
      <c r="BA429">
        <v>0</v>
      </c>
      <c r="BB429">
        <v>0</v>
      </c>
      <c r="BC429">
        <v>271410.625</v>
      </c>
      <c r="BD429">
        <v>275310</v>
      </c>
      <c r="BE429">
        <v>140430.25</v>
      </c>
      <c r="BF429">
        <v>170234.75</v>
      </c>
      <c r="BG429">
        <v>164309.6875</v>
      </c>
      <c r="BH429">
        <v>0</v>
      </c>
      <c r="BI429">
        <v>0</v>
      </c>
      <c r="BJ429">
        <v>0</v>
      </c>
      <c r="BK429">
        <v>0</v>
      </c>
      <c r="BL429">
        <v>0</v>
      </c>
      <c r="BM429">
        <v>0</v>
      </c>
      <c r="BN429">
        <v>0</v>
      </c>
      <c r="BO429">
        <v>0</v>
      </c>
      <c r="BP429">
        <v>0</v>
      </c>
      <c r="BQ429">
        <v>0</v>
      </c>
      <c r="BR429">
        <v>0</v>
      </c>
      <c r="BS429">
        <v>0</v>
      </c>
      <c r="BT429">
        <v>0</v>
      </c>
      <c r="BU429">
        <v>0</v>
      </c>
      <c r="BV429">
        <v>0</v>
      </c>
      <c r="BW429">
        <v>0</v>
      </c>
    </row>
    <row r="430" spans="1:75" x14ac:dyDescent="0.55000000000000004">
      <c r="A430">
        <v>1280</v>
      </c>
      <c r="B430">
        <v>12.773</v>
      </c>
      <c r="C430">
        <v>847.53179999999998</v>
      </c>
      <c r="D430" t="s">
        <v>1430</v>
      </c>
      <c r="E430" t="s">
        <v>32</v>
      </c>
      <c r="F430" t="s">
        <v>2</v>
      </c>
      <c r="G430">
        <v>0.38</v>
      </c>
      <c r="H430" t="b">
        <v>1</v>
      </c>
      <c r="I430">
        <v>8.35</v>
      </c>
      <c r="J430">
        <v>847.53417999999999</v>
      </c>
      <c r="K430" t="s">
        <v>1431</v>
      </c>
      <c r="L430" t="s">
        <v>1024</v>
      </c>
      <c r="N430" t="s">
        <v>1432</v>
      </c>
      <c r="O430" t="s">
        <v>1439</v>
      </c>
      <c r="P430">
        <v>410</v>
      </c>
      <c r="Q430" t="b">
        <v>0</v>
      </c>
      <c r="R430" t="b">
        <v>1</v>
      </c>
      <c r="S430" t="b">
        <v>1</v>
      </c>
      <c r="T430" t="s">
        <v>7</v>
      </c>
      <c r="U430" t="b">
        <v>0</v>
      </c>
      <c r="V430" t="b">
        <v>0</v>
      </c>
      <c r="W430">
        <v>1280</v>
      </c>
      <c r="X430">
        <v>0</v>
      </c>
      <c r="Y430">
        <v>0</v>
      </c>
      <c r="Z430">
        <v>0.99</v>
      </c>
      <c r="AA430">
        <v>0.46700000000000003</v>
      </c>
      <c r="AB430">
        <v>0.55900000000000005</v>
      </c>
      <c r="AC430">
        <v>0.82899999999999996</v>
      </c>
      <c r="AD430">
        <v>7</v>
      </c>
      <c r="AE430">
        <v>2</v>
      </c>
      <c r="AF430">
        <v>2.3559999999999999</v>
      </c>
      <c r="AG430">
        <v>984.52</v>
      </c>
      <c r="AH430" t="s">
        <v>927</v>
      </c>
      <c r="AI430" t="s">
        <v>1434</v>
      </c>
      <c r="AJ430" t="s">
        <v>1435</v>
      </c>
      <c r="AK430">
        <v>13218</v>
      </c>
      <c r="AL430">
        <v>0</v>
      </c>
      <c r="AM430">
        <v>0</v>
      </c>
      <c r="AN430">
        <v>0</v>
      </c>
      <c r="AO430">
        <v>0</v>
      </c>
      <c r="AP430">
        <v>188271</v>
      </c>
      <c r="AQ430">
        <v>196435</v>
      </c>
      <c r="AR430">
        <v>104080</v>
      </c>
      <c r="AS430">
        <v>122244</v>
      </c>
      <c r="AT430">
        <v>128051</v>
      </c>
      <c r="AU430">
        <v>0</v>
      </c>
      <c r="AV430">
        <v>0</v>
      </c>
      <c r="AW430">
        <v>0</v>
      </c>
      <c r="AX430">
        <v>13218</v>
      </c>
      <c r="AY430">
        <v>0</v>
      </c>
      <c r="AZ430">
        <v>0</v>
      </c>
      <c r="BA430">
        <v>0</v>
      </c>
      <c r="BB430">
        <v>0</v>
      </c>
      <c r="BC430">
        <v>188270.5625</v>
      </c>
      <c r="BD430">
        <v>196434.5625</v>
      </c>
      <c r="BE430">
        <v>104080.0625</v>
      </c>
      <c r="BF430">
        <v>122243.5625</v>
      </c>
      <c r="BG430">
        <v>128050.5625</v>
      </c>
      <c r="BH430">
        <v>0</v>
      </c>
      <c r="BI430">
        <v>0</v>
      </c>
      <c r="BJ430">
        <v>0</v>
      </c>
      <c r="BK430">
        <v>0</v>
      </c>
      <c r="BL430">
        <v>0</v>
      </c>
      <c r="BM430">
        <v>0</v>
      </c>
      <c r="BN430">
        <v>0</v>
      </c>
      <c r="BO430">
        <v>0</v>
      </c>
      <c r="BP430">
        <v>0</v>
      </c>
      <c r="BQ430">
        <v>0</v>
      </c>
      <c r="BR430">
        <v>0</v>
      </c>
      <c r="BS430">
        <v>0</v>
      </c>
      <c r="BT430">
        <v>0</v>
      </c>
      <c r="BU430">
        <v>0</v>
      </c>
      <c r="BV430">
        <v>0</v>
      </c>
      <c r="BW430">
        <v>0</v>
      </c>
    </row>
    <row r="431" spans="1:75" x14ac:dyDescent="0.55000000000000004">
      <c r="A431">
        <v>1290</v>
      </c>
      <c r="B431">
        <v>11.99</v>
      </c>
      <c r="C431">
        <v>848.54309000000001</v>
      </c>
      <c r="D431" t="s">
        <v>1436</v>
      </c>
      <c r="E431" t="s">
        <v>1</v>
      </c>
      <c r="F431" t="s">
        <v>2</v>
      </c>
      <c r="G431">
        <v>0.23</v>
      </c>
      <c r="H431" t="b">
        <v>1</v>
      </c>
      <c r="I431">
        <v>8.5630000000000006</v>
      </c>
      <c r="J431">
        <v>848.54467999999997</v>
      </c>
      <c r="K431" t="s">
        <v>1437</v>
      </c>
      <c r="L431" t="s">
        <v>660</v>
      </c>
      <c r="N431" t="s">
        <v>1438</v>
      </c>
      <c r="O431" t="s">
        <v>1446</v>
      </c>
      <c r="P431">
        <v>410</v>
      </c>
      <c r="Q431" t="b">
        <v>0</v>
      </c>
      <c r="R431" t="b">
        <v>1</v>
      </c>
      <c r="S431" t="b">
        <v>1</v>
      </c>
      <c r="T431" t="s">
        <v>7</v>
      </c>
      <c r="U431" t="b">
        <v>0</v>
      </c>
      <c r="V431" t="b">
        <v>0</v>
      </c>
      <c r="W431">
        <v>1290</v>
      </c>
      <c r="X431">
        <v>0</v>
      </c>
      <c r="Y431">
        <v>0</v>
      </c>
      <c r="Z431">
        <v>0.97</v>
      </c>
      <c r="AA431">
        <v>0.25600000000000001</v>
      </c>
      <c r="AB431">
        <v>0.41799999999999998</v>
      </c>
      <c r="AC431">
        <v>0.88600000000000001</v>
      </c>
      <c r="AD431">
        <v>4</v>
      </c>
      <c r="AE431">
        <v>2</v>
      </c>
      <c r="AF431">
        <v>2.2959999999999998</v>
      </c>
      <c r="AG431">
        <v>398.38</v>
      </c>
      <c r="AH431" t="s">
        <v>927</v>
      </c>
      <c r="AI431" t="s">
        <v>1440</v>
      </c>
      <c r="AJ431" t="s">
        <v>1441</v>
      </c>
      <c r="AK431">
        <v>8900</v>
      </c>
      <c r="AL431">
        <v>0</v>
      </c>
      <c r="AM431">
        <v>0</v>
      </c>
      <c r="AN431">
        <v>0</v>
      </c>
      <c r="AO431">
        <v>0</v>
      </c>
      <c r="AP431">
        <v>138654</v>
      </c>
      <c r="AQ431">
        <v>142484</v>
      </c>
      <c r="AR431">
        <v>68785</v>
      </c>
      <c r="AS431">
        <v>77409</v>
      </c>
      <c r="AT431">
        <v>77732</v>
      </c>
      <c r="AU431">
        <v>0</v>
      </c>
      <c r="AV431">
        <v>0</v>
      </c>
      <c r="AW431">
        <v>0</v>
      </c>
      <c r="AX431">
        <v>8900.125</v>
      </c>
      <c r="AY431">
        <v>0</v>
      </c>
      <c r="AZ431">
        <v>0</v>
      </c>
      <c r="BA431">
        <v>0</v>
      </c>
      <c r="BB431">
        <v>0</v>
      </c>
      <c r="BC431">
        <v>138654.5</v>
      </c>
      <c r="BD431">
        <v>142484</v>
      </c>
      <c r="BE431">
        <v>68785</v>
      </c>
      <c r="BF431">
        <v>77408.625</v>
      </c>
      <c r="BG431">
        <v>77732.3125</v>
      </c>
      <c r="BH431">
        <v>0</v>
      </c>
      <c r="BI431">
        <v>0</v>
      </c>
      <c r="BJ431">
        <v>0</v>
      </c>
      <c r="BK431">
        <v>0</v>
      </c>
      <c r="BL431">
        <v>0</v>
      </c>
      <c r="BM431">
        <v>0</v>
      </c>
      <c r="BN431">
        <v>0</v>
      </c>
      <c r="BO431">
        <v>0</v>
      </c>
      <c r="BP431">
        <v>0</v>
      </c>
      <c r="BQ431">
        <v>0</v>
      </c>
      <c r="BR431">
        <v>0</v>
      </c>
      <c r="BS431">
        <v>0</v>
      </c>
      <c r="BT431">
        <v>0</v>
      </c>
      <c r="BU431">
        <v>0</v>
      </c>
      <c r="BV431">
        <v>0</v>
      </c>
      <c r="BW431">
        <v>0</v>
      </c>
    </row>
    <row r="432" spans="1:75" x14ac:dyDescent="0.55000000000000004">
      <c r="A432">
        <v>1291</v>
      </c>
      <c r="B432">
        <v>11.446999999999999</v>
      </c>
      <c r="C432">
        <v>848.54332999999997</v>
      </c>
      <c r="D432" t="s">
        <v>1436</v>
      </c>
      <c r="E432" t="s">
        <v>1</v>
      </c>
      <c r="F432" t="s">
        <v>2</v>
      </c>
      <c r="G432">
        <v>0.15</v>
      </c>
      <c r="H432" t="b">
        <v>1</v>
      </c>
      <c r="I432">
        <v>8.5630000000000006</v>
      </c>
      <c r="J432">
        <v>848.54467999999997</v>
      </c>
      <c r="K432" t="s">
        <v>1437</v>
      </c>
      <c r="L432" t="s">
        <v>660</v>
      </c>
      <c r="N432" t="s">
        <v>1438</v>
      </c>
      <c r="O432" t="s">
        <v>1452</v>
      </c>
      <c r="P432">
        <v>410</v>
      </c>
      <c r="Q432" t="b">
        <v>0</v>
      </c>
      <c r="R432" t="b">
        <v>1</v>
      </c>
      <c r="S432" t="b">
        <v>1</v>
      </c>
      <c r="T432" t="s">
        <v>7</v>
      </c>
      <c r="U432" t="b">
        <v>0</v>
      </c>
      <c r="V432" t="b">
        <v>0</v>
      </c>
      <c r="W432">
        <v>1291</v>
      </c>
      <c r="X432">
        <v>0</v>
      </c>
      <c r="Y432">
        <v>0</v>
      </c>
      <c r="Z432">
        <v>0.99</v>
      </c>
      <c r="AA432">
        <v>0.53800000000000003</v>
      </c>
      <c r="AB432">
        <v>0.67400000000000004</v>
      </c>
      <c r="AC432">
        <v>0.876</v>
      </c>
      <c r="AD432">
        <v>6</v>
      </c>
      <c r="AE432">
        <v>2</v>
      </c>
      <c r="AF432">
        <v>2.4140000000000001</v>
      </c>
      <c r="AG432">
        <v>667.89</v>
      </c>
      <c r="AH432" t="s">
        <v>927</v>
      </c>
      <c r="AI432" t="s">
        <v>1442</v>
      </c>
      <c r="AJ432" t="s">
        <v>1443</v>
      </c>
      <c r="AK432">
        <v>18885</v>
      </c>
      <c r="AL432">
        <v>0</v>
      </c>
      <c r="AM432">
        <v>0</v>
      </c>
      <c r="AN432">
        <v>0</v>
      </c>
      <c r="AO432">
        <v>0</v>
      </c>
      <c r="AP432">
        <v>279237</v>
      </c>
      <c r="AQ432">
        <v>163508</v>
      </c>
      <c r="AR432">
        <v>141110</v>
      </c>
      <c r="AS432">
        <v>151038</v>
      </c>
      <c r="AT432">
        <v>162671</v>
      </c>
      <c r="AU432">
        <v>0</v>
      </c>
      <c r="AV432">
        <v>0</v>
      </c>
      <c r="AW432">
        <v>0</v>
      </c>
      <c r="AX432">
        <v>18885.3125</v>
      </c>
      <c r="AY432">
        <v>0</v>
      </c>
      <c r="AZ432">
        <v>0</v>
      </c>
      <c r="BA432">
        <v>0</v>
      </c>
      <c r="BB432">
        <v>0</v>
      </c>
      <c r="BC432">
        <v>279237.1875</v>
      </c>
      <c r="BD432">
        <v>163507.875</v>
      </c>
      <c r="BE432">
        <v>141110</v>
      </c>
      <c r="BF432">
        <v>151038.25</v>
      </c>
      <c r="BG432">
        <v>162671.25</v>
      </c>
      <c r="BH432">
        <v>0</v>
      </c>
      <c r="BI432">
        <v>0</v>
      </c>
      <c r="BJ432">
        <v>0</v>
      </c>
      <c r="BK432">
        <v>0</v>
      </c>
      <c r="BL432">
        <v>0</v>
      </c>
      <c r="BM432">
        <v>0</v>
      </c>
      <c r="BN432">
        <v>0</v>
      </c>
      <c r="BO432">
        <v>0</v>
      </c>
      <c r="BP432">
        <v>0</v>
      </c>
      <c r="BQ432">
        <v>0</v>
      </c>
      <c r="BR432">
        <v>0</v>
      </c>
      <c r="BS432">
        <v>0</v>
      </c>
      <c r="BT432">
        <v>0</v>
      </c>
      <c r="BU432">
        <v>0</v>
      </c>
      <c r="BV432">
        <v>0</v>
      </c>
      <c r="BW432">
        <v>0</v>
      </c>
    </row>
    <row r="433" spans="1:75" x14ac:dyDescent="0.55000000000000004">
      <c r="A433">
        <v>1293</v>
      </c>
      <c r="B433">
        <v>11.048</v>
      </c>
      <c r="C433">
        <v>848.54381999999998</v>
      </c>
      <c r="D433" t="s">
        <v>1444</v>
      </c>
      <c r="E433" t="s">
        <v>1</v>
      </c>
      <c r="F433" t="s">
        <v>2</v>
      </c>
      <c r="G433">
        <v>0.15</v>
      </c>
      <c r="H433" t="b">
        <v>1</v>
      </c>
      <c r="I433">
        <v>8.5920000000000005</v>
      </c>
      <c r="J433">
        <v>848.54467999999997</v>
      </c>
      <c r="K433" t="s">
        <v>1437</v>
      </c>
      <c r="L433" t="s">
        <v>660</v>
      </c>
      <c r="N433" t="s">
        <v>1445</v>
      </c>
      <c r="O433" t="s">
        <v>1458</v>
      </c>
      <c r="P433">
        <v>410</v>
      </c>
      <c r="Q433" t="b">
        <v>0</v>
      </c>
      <c r="R433" t="b">
        <v>1</v>
      </c>
      <c r="S433" t="b">
        <v>1</v>
      </c>
      <c r="T433" t="s">
        <v>7</v>
      </c>
      <c r="U433" t="b">
        <v>0</v>
      </c>
      <c r="V433" t="b">
        <v>0</v>
      </c>
      <c r="W433">
        <v>1293</v>
      </c>
      <c r="X433">
        <v>0</v>
      </c>
      <c r="Y433">
        <v>0</v>
      </c>
      <c r="Z433">
        <v>0.99</v>
      </c>
      <c r="AA433">
        <v>0.44600000000000001</v>
      </c>
      <c r="AB433">
        <v>0.53500000000000003</v>
      </c>
      <c r="AC433">
        <v>0.84599999999999997</v>
      </c>
      <c r="AD433">
        <v>5</v>
      </c>
      <c r="AE433">
        <v>2</v>
      </c>
      <c r="AF433">
        <v>2.355</v>
      </c>
      <c r="AG433">
        <v>578.96</v>
      </c>
      <c r="AH433" t="s">
        <v>927</v>
      </c>
      <c r="AI433" t="s">
        <v>1447</v>
      </c>
      <c r="AJ433" t="s">
        <v>1448</v>
      </c>
      <c r="AK433">
        <v>15227</v>
      </c>
      <c r="AL433">
        <v>0</v>
      </c>
      <c r="AM433">
        <v>0</v>
      </c>
      <c r="AN433">
        <v>0</v>
      </c>
      <c r="AO433">
        <v>0</v>
      </c>
      <c r="AP433">
        <v>231392</v>
      </c>
      <c r="AQ433">
        <v>69213</v>
      </c>
      <c r="AR433">
        <v>103364</v>
      </c>
      <c r="AS433">
        <v>125023</v>
      </c>
      <c r="AT433">
        <v>131584</v>
      </c>
      <c r="AU433">
        <v>0</v>
      </c>
      <c r="AV433">
        <v>0</v>
      </c>
      <c r="AW433">
        <v>0</v>
      </c>
      <c r="AX433">
        <v>15227.0625</v>
      </c>
      <c r="AY433">
        <v>0</v>
      </c>
      <c r="AZ433">
        <v>0</v>
      </c>
      <c r="BA433">
        <v>0</v>
      </c>
      <c r="BB433">
        <v>0</v>
      </c>
      <c r="BC433">
        <v>231392.125</v>
      </c>
      <c r="BD433">
        <v>69213.125</v>
      </c>
      <c r="BE433">
        <v>103363.75</v>
      </c>
      <c r="BF433">
        <v>125023.3125</v>
      </c>
      <c r="BG433">
        <v>131584.0625</v>
      </c>
      <c r="BH433">
        <v>0</v>
      </c>
      <c r="BI433">
        <v>0</v>
      </c>
      <c r="BJ433">
        <v>0</v>
      </c>
      <c r="BK433">
        <v>0</v>
      </c>
      <c r="BL433">
        <v>0</v>
      </c>
      <c r="BM433">
        <v>0</v>
      </c>
      <c r="BN433">
        <v>0</v>
      </c>
      <c r="BO433">
        <v>0</v>
      </c>
      <c r="BP433">
        <v>0</v>
      </c>
      <c r="BQ433">
        <v>0</v>
      </c>
      <c r="BR433">
        <v>0</v>
      </c>
      <c r="BS433">
        <v>0</v>
      </c>
      <c r="BT433">
        <v>0</v>
      </c>
      <c r="BU433">
        <v>0</v>
      </c>
      <c r="BV433">
        <v>0</v>
      </c>
      <c r="BW433">
        <v>0</v>
      </c>
    </row>
    <row r="434" spans="1:75" x14ac:dyDescent="0.55000000000000004">
      <c r="A434">
        <v>1304</v>
      </c>
      <c r="B434">
        <v>13.82</v>
      </c>
      <c r="C434">
        <v>849.54687999999999</v>
      </c>
      <c r="D434" t="s">
        <v>1449</v>
      </c>
      <c r="E434" t="s">
        <v>32</v>
      </c>
      <c r="F434" t="s">
        <v>2</v>
      </c>
      <c r="G434">
        <v>0.38</v>
      </c>
      <c r="H434" t="b">
        <v>1</v>
      </c>
      <c r="I434">
        <v>8.7010000000000005</v>
      </c>
      <c r="J434">
        <v>849.54993000000002</v>
      </c>
      <c r="K434" t="s">
        <v>1450</v>
      </c>
      <c r="L434" t="s">
        <v>1024</v>
      </c>
      <c r="N434" t="s">
        <v>1451</v>
      </c>
      <c r="O434" t="s">
        <v>1464</v>
      </c>
      <c r="P434">
        <v>410</v>
      </c>
      <c r="Q434" t="b">
        <v>0</v>
      </c>
      <c r="R434" t="b">
        <v>1</v>
      </c>
      <c r="S434" t="b">
        <v>1</v>
      </c>
      <c r="T434" t="s">
        <v>7</v>
      </c>
      <c r="U434" t="b">
        <v>0</v>
      </c>
      <c r="V434" t="b">
        <v>0</v>
      </c>
      <c r="W434">
        <v>1304</v>
      </c>
      <c r="X434">
        <v>0</v>
      </c>
      <c r="Y434">
        <v>0</v>
      </c>
      <c r="Z434">
        <v>0.94</v>
      </c>
      <c r="AA434">
        <v>0.19600000000000001</v>
      </c>
      <c r="AB434">
        <v>0.30099999999999999</v>
      </c>
      <c r="AC434">
        <v>0.77800000000000002</v>
      </c>
      <c r="AD434">
        <v>4</v>
      </c>
      <c r="AE434">
        <v>2</v>
      </c>
      <c r="AF434">
        <v>2.1970000000000001</v>
      </c>
      <c r="AG434">
        <v>297.16000000000003</v>
      </c>
      <c r="AH434" t="s">
        <v>927</v>
      </c>
      <c r="AI434" t="s">
        <v>1453</v>
      </c>
      <c r="AJ434" t="s">
        <v>1454</v>
      </c>
      <c r="AK434">
        <v>9950</v>
      </c>
      <c r="AL434">
        <v>0</v>
      </c>
      <c r="AM434">
        <v>0</v>
      </c>
      <c r="AN434">
        <v>0</v>
      </c>
      <c r="AO434">
        <v>0</v>
      </c>
      <c r="AP434">
        <v>77142</v>
      </c>
      <c r="AQ434">
        <v>77733</v>
      </c>
      <c r="AR434">
        <v>45031</v>
      </c>
      <c r="AS434">
        <v>53028</v>
      </c>
      <c r="AT434">
        <v>55020</v>
      </c>
      <c r="AU434">
        <v>0</v>
      </c>
      <c r="AV434">
        <v>0</v>
      </c>
      <c r="AW434">
        <v>0</v>
      </c>
      <c r="AX434">
        <v>9949.5625</v>
      </c>
      <c r="AY434">
        <v>0</v>
      </c>
      <c r="AZ434">
        <v>0</v>
      </c>
      <c r="BA434">
        <v>0</v>
      </c>
      <c r="BB434">
        <v>0</v>
      </c>
      <c r="BC434">
        <v>77142.3125</v>
      </c>
      <c r="BD434">
        <v>77733.3125</v>
      </c>
      <c r="BE434">
        <v>45030.9375</v>
      </c>
      <c r="BF434">
        <v>53027.875</v>
      </c>
      <c r="BG434">
        <v>55020.25</v>
      </c>
      <c r="BH434">
        <v>0</v>
      </c>
      <c r="BI434">
        <v>0</v>
      </c>
      <c r="BJ434">
        <v>0</v>
      </c>
      <c r="BK434">
        <v>0</v>
      </c>
      <c r="BL434">
        <v>0</v>
      </c>
      <c r="BM434">
        <v>0</v>
      </c>
      <c r="BN434">
        <v>0</v>
      </c>
      <c r="BO434">
        <v>0</v>
      </c>
      <c r="BP434">
        <v>0</v>
      </c>
      <c r="BQ434">
        <v>0</v>
      </c>
      <c r="BR434">
        <v>0</v>
      </c>
      <c r="BS434">
        <v>0</v>
      </c>
      <c r="BT434">
        <v>0</v>
      </c>
      <c r="BU434">
        <v>0</v>
      </c>
      <c r="BV434">
        <v>0</v>
      </c>
      <c r="BW434">
        <v>0</v>
      </c>
    </row>
    <row r="435" spans="1:75" x14ac:dyDescent="0.55000000000000004">
      <c r="A435">
        <v>1315</v>
      </c>
      <c r="B435">
        <v>12.944000000000001</v>
      </c>
      <c r="C435">
        <v>850.56055000000003</v>
      </c>
      <c r="D435" t="s">
        <v>1455</v>
      </c>
      <c r="E435" t="s">
        <v>1</v>
      </c>
      <c r="F435" t="s">
        <v>2</v>
      </c>
      <c r="G435">
        <v>0.31</v>
      </c>
      <c r="H435" t="b">
        <v>1</v>
      </c>
      <c r="I435">
        <v>9.1750000000000007</v>
      </c>
      <c r="J435">
        <v>850.56042000000002</v>
      </c>
      <c r="K435" t="s">
        <v>1456</v>
      </c>
      <c r="L435" t="s">
        <v>660</v>
      </c>
      <c r="N435" t="s">
        <v>1457</v>
      </c>
      <c r="O435" t="s">
        <v>1470</v>
      </c>
      <c r="P435">
        <v>410</v>
      </c>
      <c r="Q435" t="b">
        <v>0</v>
      </c>
      <c r="R435" t="b">
        <v>1</v>
      </c>
      <c r="S435" t="b">
        <v>1</v>
      </c>
      <c r="T435" t="s">
        <v>7</v>
      </c>
      <c r="U435" t="b">
        <v>0</v>
      </c>
      <c r="V435" t="b">
        <v>0</v>
      </c>
      <c r="W435">
        <v>1315</v>
      </c>
      <c r="X435">
        <v>0</v>
      </c>
      <c r="Y435">
        <v>0</v>
      </c>
      <c r="Z435">
        <v>1</v>
      </c>
      <c r="AA435">
        <v>0.77500000000000002</v>
      </c>
      <c r="AB435">
        <v>0.84099999999999997</v>
      </c>
      <c r="AC435">
        <v>0.89100000000000001</v>
      </c>
      <c r="AD435">
        <v>9</v>
      </c>
      <c r="AE435">
        <v>2</v>
      </c>
      <c r="AF435">
        <v>2.5129999999999999</v>
      </c>
      <c r="AG435">
        <v>110541.7</v>
      </c>
      <c r="AH435" t="s">
        <v>1459</v>
      </c>
      <c r="AI435" t="s">
        <v>1460</v>
      </c>
      <c r="AJ435" t="s">
        <v>1461</v>
      </c>
      <c r="AK435">
        <v>0</v>
      </c>
      <c r="AL435">
        <v>4920327</v>
      </c>
      <c r="AM435">
        <v>0</v>
      </c>
      <c r="AN435">
        <v>0</v>
      </c>
      <c r="AO435">
        <v>0</v>
      </c>
      <c r="AP435">
        <v>0</v>
      </c>
      <c r="AQ435">
        <v>0</v>
      </c>
      <c r="AR435">
        <v>0</v>
      </c>
      <c r="AS435">
        <v>0</v>
      </c>
      <c r="AT435">
        <v>0</v>
      </c>
      <c r="AU435">
        <v>21782562</v>
      </c>
      <c r="AV435">
        <v>25098018</v>
      </c>
      <c r="AW435">
        <v>25354382</v>
      </c>
      <c r="AX435">
        <v>0</v>
      </c>
      <c r="AY435">
        <v>4920327.0625</v>
      </c>
      <c r="AZ435">
        <v>0</v>
      </c>
      <c r="BA435">
        <v>0</v>
      </c>
      <c r="BB435">
        <v>0</v>
      </c>
      <c r="BC435">
        <v>0</v>
      </c>
      <c r="BD435">
        <v>0</v>
      </c>
      <c r="BE435">
        <v>0</v>
      </c>
      <c r="BF435">
        <v>0</v>
      </c>
      <c r="BG435">
        <v>0</v>
      </c>
      <c r="BH435">
        <v>21782562</v>
      </c>
      <c r="BI435">
        <v>25098017.8125</v>
      </c>
      <c r="BJ435">
        <v>25354381.625</v>
      </c>
      <c r="BK435">
        <v>0</v>
      </c>
      <c r="BL435">
        <v>0</v>
      </c>
      <c r="BM435">
        <v>0</v>
      </c>
      <c r="BN435">
        <v>0</v>
      </c>
      <c r="BO435">
        <v>0</v>
      </c>
      <c r="BP435">
        <v>0</v>
      </c>
      <c r="BQ435">
        <v>0</v>
      </c>
      <c r="BR435">
        <v>0</v>
      </c>
      <c r="BS435">
        <v>0</v>
      </c>
      <c r="BT435">
        <v>0</v>
      </c>
      <c r="BU435">
        <v>0</v>
      </c>
      <c r="BV435">
        <v>0</v>
      </c>
      <c r="BW435">
        <v>0</v>
      </c>
    </row>
    <row r="436" spans="1:75" x14ac:dyDescent="0.55000000000000004">
      <c r="A436">
        <v>1316</v>
      </c>
      <c r="B436">
        <v>12.24</v>
      </c>
      <c r="C436">
        <v>850.56133999999997</v>
      </c>
      <c r="D436" t="s">
        <v>1462</v>
      </c>
      <c r="E436" t="s">
        <v>1</v>
      </c>
      <c r="F436" t="s">
        <v>2</v>
      </c>
      <c r="G436">
        <v>0.31</v>
      </c>
      <c r="H436" t="b">
        <v>1</v>
      </c>
      <c r="I436">
        <v>8.9209999999999994</v>
      </c>
      <c r="J436">
        <v>850.56042000000002</v>
      </c>
      <c r="K436" t="s">
        <v>1456</v>
      </c>
      <c r="L436" t="s">
        <v>660</v>
      </c>
      <c r="N436" t="s">
        <v>1463</v>
      </c>
      <c r="O436" t="s">
        <v>1470</v>
      </c>
      <c r="P436">
        <v>410</v>
      </c>
      <c r="Q436" t="b">
        <v>0</v>
      </c>
      <c r="R436" t="b">
        <v>1</v>
      </c>
      <c r="S436" t="b">
        <v>1</v>
      </c>
      <c r="T436" t="s">
        <v>7</v>
      </c>
      <c r="U436" t="b">
        <v>0</v>
      </c>
      <c r="V436" t="b">
        <v>0</v>
      </c>
      <c r="W436">
        <v>1316</v>
      </c>
      <c r="X436">
        <v>0</v>
      </c>
      <c r="Y436">
        <v>0</v>
      </c>
      <c r="Z436">
        <v>0.97</v>
      </c>
      <c r="AA436">
        <v>0.751</v>
      </c>
      <c r="AB436">
        <v>0.80900000000000005</v>
      </c>
      <c r="AC436">
        <v>0.88400000000000001</v>
      </c>
      <c r="AD436">
        <v>9</v>
      </c>
      <c r="AE436">
        <v>2</v>
      </c>
      <c r="AF436">
        <v>2.4849999999999999</v>
      </c>
      <c r="AG436">
        <v>12327.31</v>
      </c>
      <c r="AH436" t="s">
        <v>1459</v>
      </c>
      <c r="AI436" t="s">
        <v>1465</v>
      </c>
      <c r="AJ436" t="s">
        <v>1466</v>
      </c>
      <c r="AK436">
        <v>0</v>
      </c>
      <c r="AL436">
        <v>375776</v>
      </c>
      <c r="AM436">
        <v>0</v>
      </c>
      <c r="AN436">
        <v>0</v>
      </c>
      <c r="AO436">
        <v>0</v>
      </c>
      <c r="AP436">
        <v>0</v>
      </c>
      <c r="AQ436">
        <v>0</v>
      </c>
      <c r="AR436">
        <v>0</v>
      </c>
      <c r="AS436">
        <v>0</v>
      </c>
      <c r="AT436">
        <v>0</v>
      </c>
      <c r="AU436">
        <v>2470386</v>
      </c>
      <c r="AV436">
        <v>2903825</v>
      </c>
      <c r="AW436">
        <v>2994330</v>
      </c>
      <c r="AX436">
        <v>0</v>
      </c>
      <c r="AY436">
        <v>375775.5</v>
      </c>
      <c r="AZ436">
        <v>0</v>
      </c>
      <c r="BA436">
        <v>0</v>
      </c>
      <c r="BB436">
        <v>0</v>
      </c>
      <c r="BC436">
        <v>0</v>
      </c>
      <c r="BD436">
        <v>0</v>
      </c>
      <c r="BE436">
        <v>0</v>
      </c>
      <c r="BF436">
        <v>0</v>
      </c>
      <c r="BG436">
        <v>0</v>
      </c>
      <c r="BH436">
        <v>2470386.125</v>
      </c>
      <c r="BI436">
        <v>2903824.9375</v>
      </c>
      <c r="BJ436">
        <v>2994329.9375</v>
      </c>
      <c r="BK436">
        <v>0</v>
      </c>
      <c r="BL436">
        <v>0</v>
      </c>
      <c r="BM436">
        <v>0</v>
      </c>
      <c r="BN436">
        <v>0</v>
      </c>
      <c r="BO436">
        <v>0</v>
      </c>
      <c r="BP436">
        <v>0</v>
      </c>
      <c r="BQ436">
        <v>0</v>
      </c>
      <c r="BR436">
        <v>0</v>
      </c>
      <c r="BS436">
        <v>0</v>
      </c>
      <c r="BT436">
        <v>0</v>
      </c>
      <c r="BU436">
        <v>0</v>
      </c>
      <c r="BV436">
        <v>0</v>
      </c>
      <c r="BW436">
        <v>0</v>
      </c>
    </row>
    <row r="437" spans="1:75" x14ac:dyDescent="0.55000000000000004">
      <c r="A437">
        <v>1327</v>
      </c>
      <c r="B437">
        <v>13.821</v>
      </c>
      <c r="C437">
        <v>852.57587000000001</v>
      </c>
      <c r="D437" t="s">
        <v>1467</v>
      </c>
      <c r="E437" t="s">
        <v>1</v>
      </c>
      <c r="F437" t="s">
        <v>2</v>
      </c>
      <c r="G437">
        <v>0.31</v>
      </c>
      <c r="H437" t="b">
        <v>1</v>
      </c>
      <c r="I437">
        <v>9.4870000000000001</v>
      </c>
      <c r="J437">
        <v>852.57599000000005</v>
      </c>
      <c r="K437" t="s">
        <v>1468</v>
      </c>
      <c r="L437" t="s">
        <v>660</v>
      </c>
      <c r="N437" t="s">
        <v>1469</v>
      </c>
      <c r="O437" t="s">
        <v>1479</v>
      </c>
      <c r="P437">
        <v>410</v>
      </c>
      <c r="Q437" t="b">
        <v>0</v>
      </c>
      <c r="R437" t="b">
        <v>1</v>
      </c>
      <c r="S437" t="b">
        <v>1</v>
      </c>
      <c r="T437" t="s">
        <v>7</v>
      </c>
      <c r="U437" t="b">
        <v>0</v>
      </c>
      <c r="V437" t="b">
        <v>0</v>
      </c>
      <c r="W437">
        <v>1327</v>
      </c>
      <c r="X437">
        <v>0</v>
      </c>
      <c r="Y437">
        <v>0</v>
      </c>
      <c r="Z437">
        <v>1</v>
      </c>
      <c r="AA437">
        <v>0.47399999999999998</v>
      </c>
      <c r="AB437">
        <v>0.60899999999999999</v>
      </c>
      <c r="AC437">
        <v>0.86799999999999999</v>
      </c>
      <c r="AD437">
        <v>4</v>
      </c>
      <c r="AE437">
        <v>2</v>
      </c>
      <c r="AF437">
        <v>2.39</v>
      </c>
      <c r="AG437">
        <v>15960.88</v>
      </c>
      <c r="AH437" t="s">
        <v>1471</v>
      </c>
      <c r="AI437" t="s">
        <v>1472</v>
      </c>
      <c r="AJ437" t="s">
        <v>1473</v>
      </c>
      <c r="AK437">
        <v>0</v>
      </c>
      <c r="AL437">
        <v>900348</v>
      </c>
      <c r="AM437">
        <v>0</v>
      </c>
      <c r="AN437">
        <v>0</v>
      </c>
      <c r="AO437">
        <v>0</v>
      </c>
      <c r="AP437">
        <v>0</v>
      </c>
      <c r="AQ437">
        <v>0</v>
      </c>
      <c r="AR437">
        <v>0</v>
      </c>
      <c r="AS437">
        <v>0</v>
      </c>
      <c r="AT437">
        <v>0</v>
      </c>
      <c r="AU437">
        <v>4757366</v>
      </c>
      <c r="AV437">
        <v>5386892</v>
      </c>
      <c r="AW437">
        <v>5382996</v>
      </c>
      <c r="AX437">
        <v>0</v>
      </c>
      <c r="AY437">
        <v>900347.875</v>
      </c>
      <c r="AZ437">
        <v>0</v>
      </c>
      <c r="BA437">
        <v>0</v>
      </c>
      <c r="BB437">
        <v>0</v>
      </c>
      <c r="BC437">
        <v>0</v>
      </c>
      <c r="BD437">
        <v>0</v>
      </c>
      <c r="BE437">
        <v>0</v>
      </c>
      <c r="BF437">
        <v>0</v>
      </c>
      <c r="BG437">
        <v>0</v>
      </c>
      <c r="BH437">
        <v>4757366.4375</v>
      </c>
      <c r="BI437">
        <v>5386892.125</v>
      </c>
      <c r="BJ437">
        <v>5382996.5</v>
      </c>
      <c r="BK437">
        <v>0</v>
      </c>
      <c r="BL437">
        <v>0</v>
      </c>
      <c r="BM437">
        <v>0</v>
      </c>
      <c r="BN437">
        <v>0</v>
      </c>
      <c r="BO437">
        <v>0</v>
      </c>
      <c r="BP437">
        <v>0</v>
      </c>
      <c r="BQ437">
        <v>0</v>
      </c>
      <c r="BR437">
        <v>0</v>
      </c>
      <c r="BS437">
        <v>0</v>
      </c>
      <c r="BT437">
        <v>0</v>
      </c>
      <c r="BU437">
        <v>0</v>
      </c>
      <c r="BV437">
        <v>0</v>
      </c>
      <c r="BW437">
        <v>0</v>
      </c>
    </row>
    <row r="438" spans="1:75" x14ac:dyDescent="0.55000000000000004">
      <c r="A438">
        <v>1328</v>
      </c>
      <c r="B438">
        <v>13.417999999999999</v>
      </c>
      <c r="C438">
        <v>852.57628999999997</v>
      </c>
      <c r="D438" t="s">
        <v>1467</v>
      </c>
      <c r="E438" t="s">
        <v>1</v>
      </c>
      <c r="F438" t="s">
        <v>2</v>
      </c>
      <c r="G438">
        <v>0.31</v>
      </c>
      <c r="H438" t="b">
        <v>1</v>
      </c>
      <c r="I438">
        <v>9.4870000000000001</v>
      </c>
      <c r="J438">
        <v>852.57599000000005</v>
      </c>
      <c r="K438" t="s">
        <v>1468</v>
      </c>
      <c r="L438" t="s">
        <v>660</v>
      </c>
      <c r="N438" t="s">
        <v>1469</v>
      </c>
      <c r="O438" t="s">
        <v>1486</v>
      </c>
      <c r="P438">
        <v>410</v>
      </c>
      <c r="Q438" t="b">
        <v>0</v>
      </c>
      <c r="R438" t="b">
        <v>1</v>
      </c>
      <c r="S438" t="b">
        <v>1</v>
      </c>
      <c r="T438" t="s">
        <v>7</v>
      </c>
      <c r="U438" t="b">
        <v>0</v>
      </c>
      <c r="V438" t="b">
        <v>0</v>
      </c>
      <c r="W438">
        <v>1328</v>
      </c>
      <c r="X438">
        <v>0</v>
      </c>
      <c r="Y438">
        <v>0</v>
      </c>
      <c r="Z438">
        <v>1</v>
      </c>
      <c r="AA438">
        <v>0.68500000000000005</v>
      </c>
      <c r="AB438">
        <v>0.74099999999999999</v>
      </c>
      <c r="AC438">
        <v>0.90600000000000003</v>
      </c>
      <c r="AD438">
        <v>9</v>
      </c>
      <c r="AE438">
        <v>2</v>
      </c>
      <c r="AF438">
        <v>2.48</v>
      </c>
      <c r="AG438">
        <v>32532.03</v>
      </c>
      <c r="AH438" t="s">
        <v>1459</v>
      </c>
      <c r="AI438" t="s">
        <v>1474</v>
      </c>
      <c r="AJ438" t="s">
        <v>1475</v>
      </c>
      <c r="AK438">
        <v>0</v>
      </c>
      <c r="AL438">
        <v>2676852</v>
      </c>
      <c r="AM438">
        <v>0</v>
      </c>
      <c r="AN438">
        <v>0</v>
      </c>
      <c r="AO438">
        <v>0</v>
      </c>
      <c r="AP438">
        <v>0</v>
      </c>
      <c r="AQ438">
        <v>0</v>
      </c>
      <c r="AR438">
        <v>0</v>
      </c>
      <c r="AS438">
        <v>0</v>
      </c>
      <c r="AT438">
        <v>0</v>
      </c>
      <c r="AU438">
        <v>9490386</v>
      </c>
      <c r="AV438">
        <v>10658347</v>
      </c>
      <c r="AW438">
        <v>10595861</v>
      </c>
      <c r="AX438">
        <v>0</v>
      </c>
      <c r="AY438">
        <v>2676851.75</v>
      </c>
      <c r="AZ438">
        <v>0</v>
      </c>
      <c r="BA438">
        <v>0</v>
      </c>
      <c r="BB438">
        <v>0</v>
      </c>
      <c r="BC438">
        <v>0</v>
      </c>
      <c r="BD438">
        <v>0</v>
      </c>
      <c r="BE438">
        <v>0</v>
      </c>
      <c r="BF438">
        <v>0</v>
      </c>
      <c r="BG438">
        <v>0</v>
      </c>
      <c r="BH438">
        <v>9490385.875</v>
      </c>
      <c r="BI438">
        <v>10658347.375</v>
      </c>
      <c r="BJ438">
        <v>10595861.0625</v>
      </c>
      <c r="BK438">
        <v>0</v>
      </c>
      <c r="BL438">
        <v>0</v>
      </c>
      <c r="BM438">
        <v>0</v>
      </c>
      <c r="BN438">
        <v>0</v>
      </c>
      <c r="BO438">
        <v>0</v>
      </c>
      <c r="BP438">
        <v>0</v>
      </c>
      <c r="BQ438">
        <v>0</v>
      </c>
      <c r="BR438">
        <v>0</v>
      </c>
      <c r="BS438">
        <v>0</v>
      </c>
      <c r="BT438">
        <v>0</v>
      </c>
      <c r="BU438">
        <v>0</v>
      </c>
      <c r="BV438">
        <v>0</v>
      </c>
      <c r="BW438">
        <v>0</v>
      </c>
    </row>
    <row r="439" spans="1:75" x14ac:dyDescent="0.55000000000000004">
      <c r="A439">
        <v>1334</v>
      </c>
      <c r="B439">
        <v>14.77</v>
      </c>
      <c r="C439">
        <v>853.64440999999999</v>
      </c>
      <c r="D439" t="s">
        <v>1476</v>
      </c>
      <c r="E439" t="s">
        <v>1</v>
      </c>
      <c r="F439" t="s">
        <v>2</v>
      </c>
      <c r="G439">
        <v>0.31</v>
      </c>
      <c r="H439" t="b">
        <v>1</v>
      </c>
      <c r="I439">
        <v>10.236000000000001</v>
      </c>
      <c r="J439">
        <v>853.64398000000006</v>
      </c>
      <c r="K439" t="s">
        <v>1477</v>
      </c>
      <c r="L439" t="s">
        <v>181</v>
      </c>
      <c r="N439" t="s">
        <v>1478</v>
      </c>
      <c r="O439" t="s">
        <v>1491</v>
      </c>
      <c r="P439">
        <v>410</v>
      </c>
      <c r="Q439" t="b">
        <v>0</v>
      </c>
      <c r="R439" t="b">
        <v>1</v>
      </c>
      <c r="S439" t="b">
        <v>1</v>
      </c>
      <c r="T439" t="s">
        <v>7</v>
      </c>
      <c r="U439" t="b">
        <v>0</v>
      </c>
      <c r="V439" t="b">
        <v>0</v>
      </c>
      <c r="W439">
        <v>1334</v>
      </c>
      <c r="X439">
        <v>0</v>
      </c>
      <c r="Y439">
        <v>0</v>
      </c>
      <c r="Z439">
        <v>1</v>
      </c>
      <c r="AA439">
        <v>0.78100000000000003</v>
      </c>
      <c r="AB439">
        <v>0.873</v>
      </c>
      <c r="AC439">
        <v>0.92800000000000005</v>
      </c>
      <c r="AD439">
        <v>5</v>
      </c>
      <c r="AE439">
        <v>2</v>
      </c>
      <c r="AF439">
        <v>2.5369999999999999</v>
      </c>
      <c r="AG439">
        <v>7726.68</v>
      </c>
      <c r="AH439" t="s">
        <v>1480</v>
      </c>
      <c r="AI439" t="s">
        <v>1481</v>
      </c>
      <c r="AJ439" t="s">
        <v>1482</v>
      </c>
      <c r="AK439">
        <v>0</v>
      </c>
      <c r="AL439">
        <v>483692</v>
      </c>
      <c r="AM439">
        <v>0</v>
      </c>
      <c r="AN439">
        <v>0</v>
      </c>
      <c r="AO439">
        <v>0</v>
      </c>
      <c r="AP439">
        <v>0</v>
      </c>
      <c r="AQ439">
        <v>0</v>
      </c>
      <c r="AR439">
        <v>0</v>
      </c>
      <c r="AS439">
        <v>0</v>
      </c>
      <c r="AT439">
        <v>0</v>
      </c>
      <c r="AU439">
        <v>2122830</v>
      </c>
      <c r="AV439">
        <v>2475119</v>
      </c>
      <c r="AW439">
        <v>2529940</v>
      </c>
      <c r="AX439">
        <v>0</v>
      </c>
      <c r="AY439">
        <v>483691.625</v>
      </c>
      <c r="AZ439">
        <v>0</v>
      </c>
      <c r="BA439">
        <v>0</v>
      </c>
      <c r="BB439">
        <v>0</v>
      </c>
      <c r="BC439">
        <v>0</v>
      </c>
      <c r="BD439">
        <v>0</v>
      </c>
      <c r="BE439">
        <v>0</v>
      </c>
      <c r="BF439">
        <v>0</v>
      </c>
      <c r="BG439">
        <v>0</v>
      </c>
      <c r="BH439">
        <v>2122829.875</v>
      </c>
      <c r="BI439">
        <v>2475118.8125</v>
      </c>
      <c r="BJ439">
        <v>2529940.125</v>
      </c>
      <c r="BK439">
        <v>0</v>
      </c>
      <c r="BL439">
        <v>0</v>
      </c>
      <c r="BM439">
        <v>0</v>
      </c>
      <c r="BN439">
        <v>0</v>
      </c>
      <c r="BO439">
        <v>0</v>
      </c>
      <c r="BP439">
        <v>0</v>
      </c>
      <c r="BQ439">
        <v>0</v>
      </c>
      <c r="BR439">
        <v>0</v>
      </c>
      <c r="BS439">
        <v>0</v>
      </c>
      <c r="BT439">
        <v>0</v>
      </c>
      <c r="BU439">
        <v>0</v>
      </c>
      <c r="BV439">
        <v>0</v>
      </c>
      <c r="BW439">
        <v>0</v>
      </c>
    </row>
    <row r="440" spans="1:75" x14ac:dyDescent="0.55000000000000004">
      <c r="A440">
        <v>1338</v>
      </c>
      <c r="B440">
        <v>14.301</v>
      </c>
      <c r="C440">
        <v>854.59142999999995</v>
      </c>
      <c r="D440" t="s">
        <v>1483</v>
      </c>
      <c r="E440" t="s">
        <v>1</v>
      </c>
      <c r="F440" t="s">
        <v>2</v>
      </c>
      <c r="G440">
        <v>0.31</v>
      </c>
      <c r="H440" t="b">
        <v>1</v>
      </c>
      <c r="I440">
        <v>9.8789999999999996</v>
      </c>
      <c r="J440">
        <v>854.59167000000002</v>
      </c>
      <c r="K440" t="s">
        <v>1484</v>
      </c>
      <c r="L440" t="s">
        <v>660</v>
      </c>
      <c r="N440" t="s">
        <v>1485</v>
      </c>
      <c r="O440" t="s">
        <v>1496</v>
      </c>
      <c r="P440">
        <v>410</v>
      </c>
      <c r="Q440" t="b">
        <v>0</v>
      </c>
      <c r="R440" t="b">
        <v>1</v>
      </c>
      <c r="S440" t="b">
        <v>1</v>
      </c>
      <c r="T440" t="s">
        <v>7</v>
      </c>
      <c r="U440" t="b">
        <v>0</v>
      </c>
      <c r="V440" t="b">
        <v>0</v>
      </c>
      <c r="W440">
        <v>1338</v>
      </c>
      <c r="X440">
        <v>0</v>
      </c>
      <c r="Y440">
        <v>0</v>
      </c>
      <c r="Z440">
        <v>1</v>
      </c>
      <c r="AA440">
        <v>0.59699999999999998</v>
      </c>
      <c r="AB440">
        <v>0.71399999999999997</v>
      </c>
      <c r="AC440">
        <v>0.88</v>
      </c>
      <c r="AD440">
        <v>9</v>
      </c>
      <c r="AE440">
        <v>2</v>
      </c>
      <c r="AF440">
        <v>2.4430000000000001</v>
      </c>
      <c r="AG440">
        <v>12852.82</v>
      </c>
      <c r="AH440" t="s">
        <v>1480</v>
      </c>
      <c r="AI440" t="s">
        <v>1487</v>
      </c>
      <c r="AJ440" t="s">
        <v>1488</v>
      </c>
      <c r="AK440">
        <v>0</v>
      </c>
      <c r="AL440">
        <v>1028996</v>
      </c>
      <c r="AM440">
        <v>0</v>
      </c>
      <c r="AN440">
        <v>0</v>
      </c>
      <c r="AO440">
        <v>0</v>
      </c>
      <c r="AP440">
        <v>0</v>
      </c>
      <c r="AQ440">
        <v>0</v>
      </c>
      <c r="AR440">
        <v>0</v>
      </c>
      <c r="AS440">
        <v>0</v>
      </c>
      <c r="AT440">
        <v>0</v>
      </c>
      <c r="AU440">
        <v>4815004</v>
      </c>
      <c r="AV440">
        <v>5546559</v>
      </c>
      <c r="AW440">
        <v>5490290</v>
      </c>
      <c r="AX440">
        <v>0</v>
      </c>
      <c r="AY440">
        <v>1028996.3125</v>
      </c>
      <c r="AZ440">
        <v>0</v>
      </c>
      <c r="BA440">
        <v>0</v>
      </c>
      <c r="BB440">
        <v>0</v>
      </c>
      <c r="BC440">
        <v>0</v>
      </c>
      <c r="BD440">
        <v>0</v>
      </c>
      <c r="BE440">
        <v>0</v>
      </c>
      <c r="BF440">
        <v>0</v>
      </c>
      <c r="BG440">
        <v>0</v>
      </c>
      <c r="BH440">
        <v>4815003.75</v>
      </c>
      <c r="BI440">
        <v>5546559.125</v>
      </c>
      <c r="BJ440">
        <v>5490289.875</v>
      </c>
      <c r="BK440">
        <v>0</v>
      </c>
      <c r="BL440">
        <v>0</v>
      </c>
      <c r="BM440">
        <v>0</v>
      </c>
      <c r="BN440">
        <v>0</v>
      </c>
      <c r="BO440">
        <v>0</v>
      </c>
      <c r="BP440">
        <v>0</v>
      </c>
      <c r="BQ440">
        <v>0</v>
      </c>
      <c r="BR440">
        <v>0</v>
      </c>
      <c r="BS440">
        <v>0</v>
      </c>
      <c r="BT440">
        <v>0</v>
      </c>
      <c r="BU440">
        <v>0</v>
      </c>
      <c r="BV440">
        <v>0</v>
      </c>
      <c r="BW440">
        <v>0</v>
      </c>
    </row>
    <row r="441" spans="1:75" x14ac:dyDescent="0.55000000000000004">
      <c r="A441">
        <v>1339</v>
      </c>
      <c r="B441">
        <v>14.007999999999999</v>
      </c>
      <c r="C441">
        <v>854.59154999999998</v>
      </c>
      <c r="D441" t="s">
        <v>1489</v>
      </c>
      <c r="E441" t="s">
        <v>1</v>
      </c>
      <c r="F441" t="s">
        <v>2</v>
      </c>
      <c r="G441">
        <v>0.31</v>
      </c>
      <c r="H441" t="b">
        <v>1</v>
      </c>
      <c r="I441">
        <v>9.5169999999999995</v>
      </c>
      <c r="J441">
        <v>854.59167000000002</v>
      </c>
      <c r="K441" t="s">
        <v>1484</v>
      </c>
      <c r="L441" t="s">
        <v>660</v>
      </c>
      <c r="N441" t="s">
        <v>1490</v>
      </c>
      <c r="O441" t="s">
        <v>1044</v>
      </c>
      <c r="P441">
        <v>410</v>
      </c>
      <c r="Q441" t="b">
        <v>0</v>
      </c>
      <c r="R441" t="b">
        <v>1</v>
      </c>
      <c r="S441" t="b">
        <v>1</v>
      </c>
      <c r="T441" t="s">
        <v>7</v>
      </c>
      <c r="U441" t="b">
        <v>0</v>
      </c>
      <c r="V441" t="b">
        <v>0</v>
      </c>
      <c r="W441">
        <v>1339</v>
      </c>
      <c r="X441">
        <v>0</v>
      </c>
      <c r="Y441">
        <v>0</v>
      </c>
      <c r="Z441">
        <v>1</v>
      </c>
      <c r="AA441">
        <v>0.79800000000000004</v>
      </c>
      <c r="AB441">
        <v>0.83899999999999997</v>
      </c>
      <c r="AC441">
        <v>0.83699999999999997</v>
      </c>
      <c r="AD441">
        <v>9</v>
      </c>
      <c r="AE441">
        <v>2</v>
      </c>
      <c r="AF441">
        <v>2.4950000000000001</v>
      </c>
      <c r="AG441">
        <v>5193.7700000000004</v>
      </c>
      <c r="AH441" t="s">
        <v>1480</v>
      </c>
      <c r="AI441" t="s">
        <v>1492</v>
      </c>
      <c r="AJ441" t="s">
        <v>1493</v>
      </c>
      <c r="AK441">
        <v>0</v>
      </c>
      <c r="AL441">
        <v>689184</v>
      </c>
      <c r="AM441">
        <v>0</v>
      </c>
      <c r="AN441">
        <v>0</v>
      </c>
      <c r="AO441">
        <v>0</v>
      </c>
      <c r="AP441">
        <v>0</v>
      </c>
      <c r="AQ441">
        <v>0</v>
      </c>
      <c r="AR441">
        <v>0</v>
      </c>
      <c r="AS441">
        <v>0</v>
      </c>
      <c r="AT441">
        <v>0</v>
      </c>
      <c r="AU441">
        <v>3053883</v>
      </c>
      <c r="AV441">
        <v>3491828</v>
      </c>
      <c r="AW441">
        <v>3392570</v>
      </c>
      <c r="AX441">
        <v>0</v>
      </c>
      <c r="AY441">
        <v>689184.375</v>
      </c>
      <c r="AZ441">
        <v>0</v>
      </c>
      <c r="BA441">
        <v>0</v>
      </c>
      <c r="BB441">
        <v>0</v>
      </c>
      <c r="BC441">
        <v>0</v>
      </c>
      <c r="BD441">
        <v>0</v>
      </c>
      <c r="BE441">
        <v>0</v>
      </c>
      <c r="BF441">
        <v>0</v>
      </c>
      <c r="BG441">
        <v>0</v>
      </c>
      <c r="BH441">
        <v>3053882.625</v>
      </c>
      <c r="BI441">
        <v>3491828</v>
      </c>
      <c r="BJ441">
        <v>3392569.5</v>
      </c>
      <c r="BK441">
        <v>0</v>
      </c>
      <c r="BL441">
        <v>0</v>
      </c>
      <c r="BM441">
        <v>0</v>
      </c>
      <c r="BN441">
        <v>0</v>
      </c>
      <c r="BO441">
        <v>0</v>
      </c>
      <c r="BP441">
        <v>0</v>
      </c>
      <c r="BQ441">
        <v>0</v>
      </c>
      <c r="BR441">
        <v>0</v>
      </c>
      <c r="BS441">
        <v>0</v>
      </c>
      <c r="BT441">
        <v>0</v>
      </c>
      <c r="BU441">
        <v>0</v>
      </c>
      <c r="BV441">
        <v>0</v>
      </c>
      <c r="BW441">
        <v>0</v>
      </c>
    </row>
    <row r="442" spans="1:75" x14ac:dyDescent="0.55000000000000004">
      <c r="A442">
        <v>1340</v>
      </c>
      <c r="B442">
        <v>14.638</v>
      </c>
      <c r="C442">
        <v>854.59154999999998</v>
      </c>
      <c r="D442" t="s">
        <v>1494</v>
      </c>
      <c r="E442" t="s">
        <v>1</v>
      </c>
      <c r="F442" t="s">
        <v>2</v>
      </c>
      <c r="G442">
        <v>0.31</v>
      </c>
      <c r="H442" t="b">
        <v>1</v>
      </c>
      <c r="I442">
        <v>9.6050000000000004</v>
      </c>
      <c r="J442">
        <v>854.59167000000002</v>
      </c>
      <c r="K442" t="s">
        <v>1484</v>
      </c>
      <c r="L442" t="s">
        <v>660</v>
      </c>
      <c r="N442" t="s">
        <v>1495</v>
      </c>
      <c r="O442" t="s">
        <v>1504</v>
      </c>
      <c r="P442">
        <v>410</v>
      </c>
      <c r="Q442" t="b">
        <v>0</v>
      </c>
      <c r="R442" t="b">
        <v>1</v>
      </c>
      <c r="S442" t="b">
        <v>1</v>
      </c>
      <c r="T442" t="s">
        <v>7</v>
      </c>
      <c r="U442" t="b">
        <v>0</v>
      </c>
      <c r="V442" t="b">
        <v>0</v>
      </c>
      <c r="W442">
        <v>1340</v>
      </c>
      <c r="X442">
        <v>0</v>
      </c>
      <c r="Y442">
        <v>0</v>
      </c>
      <c r="Z442">
        <v>1</v>
      </c>
      <c r="AA442">
        <v>0.55100000000000005</v>
      </c>
      <c r="AB442">
        <v>0.66800000000000004</v>
      </c>
      <c r="AC442">
        <v>0.875</v>
      </c>
      <c r="AD442">
        <v>6</v>
      </c>
      <c r="AE442">
        <v>2</v>
      </c>
      <c r="AF442">
        <v>2.4220000000000002</v>
      </c>
      <c r="AG442">
        <v>150212.5</v>
      </c>
      <c r="AH442" t="s">
        <v>1459</v>
      </c>
      <c r="AI442" t="s">
        <v>1497</v>
      </c>
      <c r="AJ442" t="s">
        <v>1498</v>
      </c>
      <c r="AK442">
        <v>0</v>
      </c>
      <c r="AL442">
        <v>13878062</v>
      </c>
      <c r="AM442">
        <v>0</v>
      </c>
      <c r="AN442">
        <v>0</v>
      </c>
      <c r="AO442">
        <v>0</v>
      </c>
      <c r="AP442">
        <v>0</v>
      </c>
      <c r="AQ442">
        <v>0</v>
      </c>
      <c r="AR442">
        <v>0</v>
      </c>
      <c r="AS442">
        <v>0</v>
      </c>
      <c r="AT442">
        <v>0</v>
      </c>
      <c r="AU442">
        <v>48313838</v>
      </c>
      <c r="AV442">
        <v>54721012</v>
      </c>
      <c r="AW442">
        <v>53518543</v>
      </c>
      <c r="AX442">
        <v>0</v>
      </c>
      <c r="AY442">
        <v>13878061.6875</v>
      </c>
      <c r="AZ442">
        <v>0</v>
      </c>
      <c r="BA442">
        <v>0</v>
      </c>
      <c r="BB442">
        <v>0</v>
      </c>
      <c r="BC442">
        <v>0</v>
      </c>
      <c r="BD442">
        <v>0</v>
      </c>
      <c r="BE442">
        <v>0</v>
      </c>
      <c r="BF442">
        <v>0</v>
      </c>
      <c r="BG442">
        <v>0</v>
      </c>
      <c r="BH442">
        <v>48313838.25</v>
      </c>
      <c r="BI442">
        <v>54721012.5</v>
      </c>
      <c r="BJ442">
        <v>53518543</v>
      </c>
      <c r="BK442">
        <v>0</v>
      </c>
      <c r="BL442">
        <v>0</v>
      </c>
      <c r="BM442">
        <v>0</v>
      </c>
      <c r="BN442">
        <v>0</v>
      </c>
      <c r="BO442">
        <v>0</v>
      </c>
      <c r="BP442">
        <v>0</v>
      </c>
      <c r="BQ442">
        <v>0</v>
      </c>
      <c r="BR442">
        <v>0</v>
      </c>
      <c r="BS442">
        <v>0</v>
      </c>
      <c r="BT442">
        <v>0</v>
      </c>
      <c r="BU442">
        <v>0</v>
      </c>
      <c r="BV442">
        <v>0</v>
      </c>
      <c r="BW442">
        <v>0</v>
      </c>
    </row>
    <row r="443" spans="1:75" x14ac:dyDescent="0.55000000000000004">
      <c r="A443">
        <v>1348</v>
      </c>
      <c r="B443">
        <v>16.814</v>
      </c>
      <c r="C443">
        <v>854.67303000000004</v>
      </c>
      <c r="D443" t="s">
        <v>1041</v>
      </c>
      <c r="E443" t="s">
        <v>1</v>
      </c>
      <c r="F443" t="s">
        <v>2</v>
      </c>
      <c r="G443">
        <v>0.31</v>
      </c>
      <c r="H443" t="b">
        <v>1</v>
      </c>
      <c r="I443">
        <v>12.228</v>
      </c>
      <c r="J443">
        <v>854.67273</v>
      </c>
      <c r="K443" t="s">
        <v>1042</v>
      </c>
      <c r="L443" t="s">
        <v>650</v>
      </c>
      <c r="N443" t="s">
        <v>1043</v>
      </c>
      <c r="O443" t="s">
        <v>1510</v>
      </c>
      <c r="P443">
        <v>410</v>
      </c>
      <c r="Q443" t="b">
        <v>0</v>
      </c>
      <c r="R443" t="b">
        <v>1</v>
      </c>
      <c r="S443" t="b">
        <v>1</v>
      </c>
      <c r="T443" t="s">
        <v>7</v>
      </c>
      <c r="U443" t="b">
        <v>0</v>
      </c>
      <c r="V443" t="b">
        <v>0</v>
      </c>
      <c r="W443">
        <v>1348</v>
      </c>
      <c r="X443">
        <v>0</v>
      </c>
      <c r="Y443">
        <v>0</v>
      </c>
      <c r="Z443">
        <v>1</v>
      </c>
      <c r="AA443">
        <v>0.495</v>
      </c>
      <c r="AB443">
        <v>0.76</v>
      </c>
      <c r="AC443">
        <v>0.89300000000000002</v>
      </c>
      <c r="AD443">
        <v>5</v>
      </c>
      <c r="AE443">
        <v>2</v>
      </c>
      <c r="AF443">
        <v>2.4369999999999998</v>
      </c>
      <c r="AG443">
        <v>4921.34</v>
      </c>
      <c r="AH443" t="s">
        <v>1480</v>
      </c>
      <c r="AI443" t="s">
        <v>1499</v>
      </c>
      <c r="AJ443" t="s">
        <v>1500</v>
      </c>
      <c r="AK443">
        <v>0</v>
      </c>
      <c r="AL443">
        <v>276934</v>
      </c>
      <c r="AM443">
        <v>0</v>
      </c>
      <c r="AN443">
        <v>0</v>
      </c>
      <c r="AO443">
        <v>0</v>
      </c>
      <c r="AP443">
        <v>0</v>
      </c>
      <c r="AQ443">
        <v>0</v>
      </c>
      <c r="AR443">
        <v>0</v>
      </c>
      <c r="AS443">
        <v>0</v>
      </c>
      <c r="AT443">
        <v>0</v>
      </c>
      <c r="AU443">
        <v>1594639</v>
      </c>
      <c r="AV443">
        <v>1865168</v>
      </c>
      <c r="AW443">
        <v>1901780</v>
      </c>
      <c r="AX443">
        <v>0</v>
      </c>
      <c r="AY443">
        <v>276933.875</v>
      </c>
      <c r="AZ443">
        <v>0</v>
      </c>
      <c r="BA443">
        <v>0</v>
      </c>
      <c r="BB443">
        <v>0</v>
      </c>
      <c r="BC443">
        <v>0</v>
      </c>
      <c r="BD443">
        <v>0</v>
      </c>
      <c r="BE443">
        <v>0</v>
      </c>
      <c r="BF443">
        <v>0</v>
      </c>
      <c r="BG443">
        <v>0</v>
      </c>
      <c r="BH443">
        <v>1594638.8125</v>
      </c>
      <c r="BI443">
        <v>1865168.4375</v>
      </c>
      <c r="BJ443">
        <v>1901779.9375</v>
      </c>
      <c r="BK443">
        <v>0</v>
      </c>
      <c r="BL443">
        <v>0</v>
      </c>
      <c r="BM443">
        <v>0</v>
      </c>
      <c r="BN443">
        <v>0</v>
      </c>
      <c r="BO443">
        <v>0</v>
      </c>
      <c r="BP443">
        <v>0</v>
      </c>
      <c r="BQ443">
        <v>0</v>
      </c>
      <c r="BR443">
        <v>0</v>
      </c>
      <c r="BS443">
        <v>0</v>
      </c>
      <c r="BT443">
        <v>0</v>
      </c>
      <c r="BU443">
        <v>0</v>
      </c>
      <c r="BV443">
        <v>0</v>
      </c>
      <c r="BW443">
        <v>0</v>
      </c>
    </row>
    <row r="444" spans="1:75" x14ac:dyDescent="0.55000000000000004">
      <c r="A444">
        <v>1352</v>
      </c>
      <c r="B444">
        <v>15.737</v>
      </c>
      <c r="C444">
        <v>855.65967000000001</v>
      </c>
      <c r="D444" t="s">
        <v>1501</v>
      </c>
      <c r="E444" t="s">
        <v>1</v>
      </c>
      <c r="F444" t="s">
        <v>2</v>
      </c>
      <c r="G444">
        <v>0.31</v>
      </c>
      <c r="H444" t="b">
        <v>1</v>
      </c>
      <c r="I444">
        <v>11.031000000000001</v>
      </c>
      <c r="J444">
        <v>855.65972999999997</v>
      </c>
      <c r="K444" t="s">
        <v>1502</v>
      </c>
      <c r="L444" t="s">
        <v>181</v>
      </c>
      <c r="N444" t="s">
        <v>1503</v>
      </c>
      <c r="O444" t="s">
        <v>1081</v>
      </c>
      <c r="P444">
        <v>410</v>
      </c>
      <c r="Q444" t="b">
        <v>0</v>
      </c>
      <c r="R444" t="b">
        <v>1</v>
      </c>
      <c r="S444" t="b">
        <v>1</v>
      </c>
      <c r="T444" t="s">
        <v>7</v>
      </c>
      <c r="U444" t="b">
        <v>0</v>
      </c>
      <c r="V444" t="b">
        <v>0</v>
      </c>
      <c r="W444">
        <v>1352</v>
      </c>
      <c r="X444">
        <v>0</v>
      </c>
      <c r="Y444">
        <v>0</v>
      </c>
      <c r="Z444">
        <v>1</v>
      </c>
      <c r="AA444">
        <v>0.85299999999999998</v>
      </c>
      <c r="AB444">
        <v>0.90800000000000003</v>
      </c>
      <c r="AC444">
        <v>0.94399999999999995</v>
      </c>
      <c r="AD444">
        <v>5</v>
      </c>
      <c r="AE444">
        <v>2</v>
      </c>
      <c r="AF444">
        <v>2.5670000000000002</v>
      </c>
      <c r="AG444">
        <v>66813.55</v>
      </c>
      <c r="AH444" t="s">
        <v>1459</v>
      </c>
      <c r="AI444" t="s">
        <v>1505</v>
      </c>
      <c r="AJ444" t="s">
        <v>1506</v>
      </c>
      <c r="AK444">
        <v>0</v>
      </c>
      <c r="AL444">
        <v>5172939</v>
      </c>
      <c r="AM444">
        <v>0</v>
      </c>
      <c r="AN444">
        <v>0</v>
      </c>
      <c r="AO444">
        <v>0</v>
      </c>
      <c r="AP444">
        <v>0</v>
      </c>
      <c r="AQ444">
        <v>0</v>
      </c>
      <c r="AR444">
        <v>0</v>
      </c>
      <c r="AS444">
        <v>0</v>
      </c>
      <c r="AT444">
        <v>0</v>
      </c>
      <c r="AU444">
        <v>21940226</v>
      </c>
      <c r="AV444">
        <v>24865465</v>
      </c>
      <c r="AW444">
        <v>24954364</v>
      </c>
      <c r="AX444">
        <v>0</v>
      </c>
      <c r="AY444">
        <v>5172939.3125</v>
      </c>
      <c r="AZ444">
        <v>0</v>
      </c>
      <c r="BA444">
        <v>0</v>
      </c>
      <c r="BB444">
        <v>0</v>
      </c>
      <c r="BC444">
        <v>0</v>
      </c>
      <c r="BD444">
        <v>0</v>
      </c>
      <c r="BE444">
        <v>0</v>
      </c>
      <c r="BF444">
        <v>0</v>
      </c>
      <c r="BG444">
        <v>0</v>
      </c>
      <c r="BH444">
        <v>21940226.125</v>
      </c>
      <c r="BI444">
        <v>24865465.0625</v>
      </c>
      <c r="BJ444">
        <v>24954364.3125</v>
      </c>
      <c r="BK444">
        <v>0</v>
      </c>
      <c r="BL444">
        <v>0</v>
      </c>
      <c r="BM444">
        <v>0</v>
      </c>
      <c r="BN444">
        <v>0</v>
      </c>
      <c r="BO444">
        <v>0</v>
      </c>
      <c r="BP444">
        <v>0</v>
      </c>
      <c r="BQ444">
        <v>0</v>
      </c>
      <c r="BR444">
        <v>0</v>
      </c>
      <c r="BS444">
        <v>0</v>
      </c>
      <c r="BT444">
        <v>0</v>
      </c>
      <c r="BU444">
        <v>0</v>
      </c>
      <c r="BV444">
        <v>0</v>
      </c>
      <c r="BW444">
        <v>0</v>
      </c>
    </row>
    <row r="445" spans="1:75" x14ac:dyDescent="0.55000000000000004">
      <c r="A445">
        <v>1357</v>
      </c>
      <c r="B445">
        <v>15.122999999999999</v>
      </c>
      <c r="C445">
        <v>856.60730000000001</v>
      </c>
      <c r="D445" t="s">
        <v>1507</v>
      </c>
      <c r="E445" t="s">
        <v>1</v>
      </c>
      <c r="F445" t="s">
        <v>2</v>
      </c>
      <c r="G445">
        <v>0.31</v>
      </c>
      <c r="H445" t="b">
        <v>1</v>
      </c>
      <c r="I445">
        <v>10.59</v>
      </c>
      <c r="J445">
        <v>856.60730000000001</v>
      </c>
      <c r="K445" t="s">
        <v>1508</v>
      </c>
      <c r="L445" t="s">
        <v>660</v>
      </c>
      <c r="N445" t="s">
        <v>1509</v>
      </c>
      <c r="O445" t="s">
        <v>1518</v>
      </c>
      <c r="P445">
        <v>410</v>
      </c>
      <c r="Q445" t="b">
        <v>0</v>
      </c>
      <c r="R445" t="b">
        <v>1</v>
      </c>
      <c r="S445" t="b">
        <v>1</v>
      </c>
      <c r="T445" t="s">
        <v>7</v>
      </c>
      <c r="U445" t="b">
        <v>0</v>
      </c>
      <c r="V445" t="b">
        <v>0</v>
      </c>
      <c r="W445">
        <v>1357</v>
      </c>
      <c r="X445">
        <v>0</v>
      </c>
      <c r="Y445">
        <v>0</v>
      </c>
      <c r="Z445">
        <v>1</v>
      </c>
      <c r="AA445">
        <v>0.8</v>
      </c>
      <c r="AB445">
        <v>0.84299999999999997</v>
      </c>
      <c r="AC445">
        <v>0.85199999999999998</v>
      </c>
      <c r="AD445">
        <v>9</v>
      </c>
      <c r="AE445">
        <v>2</v>
      </c>
      <c r="AF445">
        <v>2.5019999999999998</v>
      </c>
      <c r="AG445">
        <v>68300.87</v>
      </c>
      <c r="AH445" t="s">
        <v>1459</v>
      </c>
      <c r="AI445" t="s">
        <v>1511</v>
      </c>
      <c r="AJ445" t="s">
        <v>1512</v>
      </c>
      <c r="AK445">
        <v>0</v>
      </c>
      <c r="AL445">
        <v>6898704</v>
      </c>
      <c r="AM445">
        <v>0</v>
      </c>
      <c r="AN445">
        <v>0</v>
      </c>
      <c r="AO445">
        <v>0</v>
      </c>
      <c r="AP445">
        <v>0</v>
      </c>
      <c r="AQ445">
        <v>0</v>
      </c>
      <c r="AR445">
        <v>0</v>
      </c>
      <c r="AS445">
        <v>0</v>
      </c>
      <c r="AT445">
        <v>0</v>
      </c>
      <c r="AU445">
        <v>29979334</v>
      </c>
      <c r="AV445">
        <v>33971626</v>
      </c>
      <c r="AW445">
        <v>33928772</v>
      </c>
      <c r="AX445">
        <v>0</v>
      </c>
      <c r="AY445">
        <v>6898703.75</v>
      </c>
      <c r="AZ445">
        <v>0</v>
      </c>
      <c r="BA445">
        <v>0</v>
      </c>
      <c r="BB445">
        <v>0</v>
      </c>
      <c r="BC445">
        <v>0</v>
      </c>
      <c r="BD445">
        <v>0</v>
      </c>
      <c r="BE445">
        <v>0</v>
      </c>
      <c r="BF445">
        <v>0</v>
      </c>
      <c r="BG445">
        <v>0</v>
      </c>
      <c r="BH445">
        <v>29979333.5</v>
      </c>
      <c r="BI445">
        <v>33971626</v>
      </c>
      <c r="BJ445">
        <v>33928771.5</v>
      </c>
      <c r="BK445">
        <v>0</v>
      </c>
      <c r="BL445">
        <v>0</v>
      </c>
      <c r="BM445">
        <v>0</v>
      </c>
      <c r="BN445">
        <v>0</v>
      </c>
      <c r="BO445">
        <v>0</v>
      </c>
      <c r="BP445">
        <v>0</v>
      </c>
      <c r="BQ445">
        <v>0</v>
      </c>
      <c r="BR445">
        <v>0</v>
      </c>
      <c r="BS445">
        <v>0</v>
      </c>
      <c r="BT445">
        <v>0</v>
      </c>
      <c r="BU445">
        <v>0</v>
      </c>
      <c r="BV445">
        <v>0</v>
      </c>
      <c r="BW445">
        <v>0</v>
      </c>
    </row>
    <row r="446" spans="1:75" x14ac:dyDescent="0.55000000000000004">
      <c r="A446">
        <v>1362</v>
      </c>
      <c r="B446">
        <v>17.667000000000002</v>
      </c>
      <c r="C446">
        <v>856.68903</v>
      </c>
      <c r="D446" t="s">
        <v>1078</v>
      </c>
      <c r="E446" t="s">
        <v>1</v>
      </c>
      <c r="F446" t="s">
        <v>2</v>
      </c>
      <c r="G446">
        <v>0.31</v>
      </c>
      <c r="H446" t="b">
        <v>1</v>
      </c>
      <c r="I446">
        <v>13.022</v>
      </c>
      <c r="J446">
        <v>856.68829000000005</v>
      </c>
      <c r="K446" t="s">
        <v>1079</v>
      </c>
      <c r="L446" t="s">
        <v>650</v>
      </c>
      <c r="N446" t="s">
        <v>1080</v>
      </c>
      <c r="O446" t="s">
        <v>1524</v>
      </c>
      <c r="P446">
        <v>410</v>
      </c>
      <c r="Q446" t="b">
        <v>0</v>
      </c>
      <c r="R446" t="b">
        <v>1</v>
      </c>
      <c r="S446" t="b">
        <v>1</v>
      </c>
      <c r="T446" t="s">
        <v>7</v>
      </c>
      <c r="U446" t="b">
        <v>0</v>
      </c>
      <c r="V446" t="b">
        <v>0</v>
      </c>
      <c r="W446">
        <v>1362</v>
      </c>
      <c r="X446">
        <v>0</v>
      </c>
      <c r="Y446">
        <v>0</v>
      </c>
      <c r="Z446">
        <v>0.99</v>
      </c>
      <c r="AA446">
        <v>0.49299999999999999</v>
      </c>
      <c r="AB446">
        <v>0.75600000000000001</v>
      </c>
      <c r="AC446">
        <v>0.89300000000000002</v>
      </c>
      <c r="AD446">
        <v>5</v>
      </c>
      <c r="AE446">
        <v>2</v>
      </c>
      <c r="AF446">
        <v>2.4329999999999998</v>
      </c>
      <c r="AG446">
        <v>4599.92</v>
      </c>
      <c r="AH446" t="s">
        <v>1480</v>
      </c>
      <c r="AI446" t="s">
        <v>1513</v>
      </c>
      <c r="AJ446" t="s">
        <v>1514</v>
      </c>
      <c r="AK446">
        <v>0</v>
      </c>
      <c r="AL446">
        <v>365449</v>
      </c>
      <c r="AM446">
        <v>0</v>
      </c>
      <c r="AN446">
        <v>0</v>
      </c>
      <c r="AO446">
        <v>0</v>
      </c>
      <c r="AP446">
        <v>0</v>
      </c>
      <c r="AQ446">
        <v>0</v>
      </c>
      <c r="AR446">
        <v>0</v>
      </c>
      <c r="AS446">
        <v>0</v>
      </c>
      <c r="AT446">
        <v>0</v>
      </c>
      <c r="AU446">
        <v>2132779</v>
      </c>
      <c r="AV446">
        <v>2476651</v>
      </c>
      <c r="AW446">
        <v>2522883</v>
      </c>
      <c r="AX446">
        <v>0</v>
      </c>
      <c r="AY446">
        <v>365448.75</v>
      </c>
      <c r="AZ446">
        <v>0</v>
      </c>
      <c r="BA446">
        <v>0</v>
      </c>
      <c r="BB446">
        <v>0</v>
      </c>
      <c r="BC446">
        <v>0</v>
      </c>
      <c r="BD446">
        <v>0</v>
      </c>
      <c r="BE446">
        <v>0</v>
      </c>
      <c r="BF446">
        <v>0</v>
      </c>
      <c r="BG446">
        <v>0</v>
      </c>
      <c r="BH446">
        <v>2132778.75</v>
      </c>
      <c r="BI446">
        <v>2476651.125</v>
      </c>
      <c r="BJ446">
        <v>2522882.625</v>
      </c>
      <c r="BK446">
        <v>0</v>
      </c>
      <c r="BL446">
        <v>0</v>
      </c>
      <c r="BM446">
        <v>0</v>
      </c>
      <c r="BN446">
        <v>0</v>
      </c>
      <c r="BO446">
        <v>0</v>
      </c>
      <c r="BP446">
        <v>0</v>
      </c>
      <c r="BQ446">
        <v>0</v>
      </c>
      <c r="BR446">
        <v>0</v>
      </c>
      <c r="BS446">
        <v>0</v>
      </c>
      <c r="BT446">
        <v>0</v>
      </c>
      <c r="BU446">
        <v>0</v>
      </c>
      <c r="BV446">
        <v>0</v>
      </c>
      <c r="BW446">
        <v>0</v>
      </c>
    </row>
    <row r="447" spans="1:75" x14ac:dyDescent="0.55000000000000004">
      <c r="A447">
        <v>1364</v>
      </c>
      <c r="B447">
        <v>11.781000000000001</v>
      </c>
      <c r="C447">
        <v>857.51940999999999</v>
      </c>
      <c r="D447" t="s">
        <v>1515</v>
      </c>
      <c r="E447" t="s">
        <v>32</v>
      </c>
      <c r="F447" t="s">
        <v>2</v>
      </c>
      <c r="G447">
        <v>0.31</v>
      </c>
      <c r="H447" t="b">
        <v>1</v>
      </c>
      <c r="I447">
        <v>8.1739999999999995</v>
      </c>
      <c r="J447">
        <v>857.51862000000006</v>
      </c>
      <c r="K447" t="s">
        <v>1516</v>
      </c>
      <c r="L447" t="s">
        <v>1024</v>
      </c>
      <c r="N447" t="s">
        <v>1517</v>
      </c>
      <c r="O447" t="s">
        <v>1099</v>
      </c>
      <c r="P447">
        <v>410</v>
      </c>
      <c r="Q447" t="b">
        <v>0</v>
      </c>
      <c r="R447" t="b">
        <v>1</v>
      </c>
      <c r="S447" t="b">
        <v>1</v>
      </c>
      <c r="T447" t="s">
        <v>7</v>
      </c>
      <c r="U447" t="b">
        <v>0</v>
      </c>
      <c r="V447" t="b">
        <v>0</v>
      </c>
      <c r="W447">
        <v>1364</v>
      </c>
      <c r="X447">
        <v>0</v>
      </c>
      <c r="Y447">
        <v>0</v>
      </c>
      <c r="Z447">
        <v>0.98</v>
      </c>
      <c r="AA447">
        <v>0.55400000000000005</v>
      </c>
      <c r="AB447">
        <v>0.623</v>
      </c>
      <c r="AC447">
        <v>0.81799999999999995</v>
      </c>
      <c r="AD447">
        <v>8</v>
      </c>
      <c r="AE447">
        <v>2</v>
      </c>
      <c r="AF447">
        <v>2.379</v>
      </c>
      <c r="AG447">
        <v>9130.07</v>
      </c>
      <c r="AH447" t="s">
        <v>1459</v>
      </c>
      <c r="AI447" t="s">
        <v>1519</v>
      </c>
      <c r="AJ447" t="s">
        <v>1520</v>
      </c>
      <c r="AK447">
        <v>0</v>
      </c>
      <c r="AL447">
        <v>317888</v>
      </c>
      <c r="AM447">
        <v>0</v>
      </c>
      <c r="AN447">
        <v>0</v>
      </c>
      <c r="AO447">
        <v>0</v>
      </c>
      <c r="AP447">
        <v>0</v>
      </c>
      <c r="AQ447">
        <v>0</v>
      </c>
      <c r="AR447">
        <v>0</v>
      </c>
      <c r="AS447">
        <v>0</v>
      </c>
      <c r="AT447">
        <v>0</v>
      </c>
      <c r="AU447">
        <v>2134246</v>
      </c>
      <c r="AV447">
        <v>2438376</v>
      </c>
      <c r="AW447">
        <v>2485741</v>
      </c>
      <c r="AX447">
        <v>0</v>
      </c>
      <c r="AY447">
        <v>317888</v>
      </c>
      <c r="AZ447">
        <v>0</v>
      </c>
      <c r="BA447">
        <v>0</v>
      </c>
      <c r="BB447">
        <v>0</v>
      </c>
      <c r="BC447">
        <v>0</v>
      </c>
      <c r="BD447">
        <v>0</v>
      </c>
      <c r="BE447">
        <v>0</v>
      </c>
      <c r="BF447">
        <v>0</v>
      </c>
      <c r="BG447">
        <v>0</v>
      </c>
      <c r="BH447">
        <v>2134245.875</v>
      </c>
      <c r="BI447">
        <v>2438375.6875</v>
      </c>
      <c r="BJ447">
        <v>2485740.625</v>
      </c>
      <c r="BK447">
        <v>0</v>
      </c>
      <c r="BL447">
        <v>0</v>
      </c>
      <c r="BM447">
        <v>0</v>
      </c>
      <c r="BN447">
        <v>0</v>
      </c>
      <c r="BO447">
        <v>0</v>
      </c>
      <c r="BP447">
        <v>0</v>
      </c>
      <c r="BQ447">
        <v>0</v>
      </c>
      <c r="BR447">
        <v>0</v>
      </c>
      <c r="BS447">
        <v>0</v>
      </c>
      <c r="BT447">
        <v>0</v>
      </c>
      <c r="BU447">
        <v>0</v>
      </c>
      <c r="BV447">
        <v>0</v>
      </c>
      <c r="BW447">
        <v>0</v>
      </c>
    </row>
    <row r="448" spans="1:75" x14ac:dyDescent="0.55000000000000004">
      <c r="A448">
        <v>1380</v>
      </c>
      <c r="B448">
        <v>15.807</v>
      </c>
      <c r="C448">
        <v>858.62127999999996</v>
      </c>
      <c r="D448" t="s">
        <v>1521</v>
      </c>
      <c r="E448" t="s">
        <v>1</v>
      </c>
      <c r="F448" t="s">
        <v>2</v>
      </c>
      <c r="G448">
        <v>0.31</v>
      </c>
      <c r="H448" t="b">
        <v>1</v>
      </c>
      <c r="I448">
        <v>10.922000000000001</v>
      </c>
      <c r="J448">
        <v>858.62298999999996</v>
      </c>
      <c r="K448" t="s">
        <v>1522</v>
      </c>
      <c r="L448" t="s">
        <v>660</v>
      </c>
      <c r="N448" t="s">
        <v>1523</v>
      </c>
      <c r="O448" t="s">
        <v>1532</v>
      </c>
      <c r="P448">
        <v>410</v>
      </c>
      <c r="Q448" t="b">
        <v>0</v>
      </c>
      <c r="R448" t="b">
        <v>1</v>
      </c>
      <c r="S448" t="b">
        <v>1</v>
      </c>
      <c r="T448" t="s">
        <v>7</v>
      </c>
      <c r="U448" t="b">
        <v>0</v>
      </c>
      <c r="V448" t="b">
        <v>0</v>
      </c>
      <c r="W448">
        <v>1380</v>
      </c>
      <c r="X448">
        <v>0</v>
      </c>
      <c r="Y448">
        <v>0</v>
      </c>
      <c r="Z448">
        <v>1</v>
      </c>
      <c r="AA448">
        <v>0.74199999999999999</v>
      </c>
      <c r="AB448">
        <v>0.80700000000000005</v>
      </c>
      <c r="AC448">
        <v>0.84599999999999997</v>
      </c>
      <c r="AD448">
        <v>8</v>
      </c>
      <c r="AE448">
        <v>2</v>
      </c>
      <c r="AF448">
        <v>2.48</v>
      </c>
      <c r="AG448">
        <v>4510.38</v>
      </c>
      <c r="AH448" t="s">
        <v>1459</v>
      </c>
      <c r="AI448" t="s">
        <v>1525</v>
      </c>
      <c r="AJ448" t="s">
        <v>1526</v>
      </c>
      <c r="AK448">
        <v>0</v>
      </c>
      <c r="AL448">
        <v>612389</v>
      </c>
      <c r="AM448">
        <v>0</v>
      </c>
      <c r="AN448">
        <v>0</v>
      </c>
      <c r="AO448">
        <v>0</v>
      </c>
      <c r="AP448">
        <v>0</v>
      </c>
      <c r="AQ448">
        <v>0</v>
      </c>
      <c r="AR448">
        <v>0</v>
      </c>
      <c r="AS448">
        <v>0</v>
      </c>
      <c r="AT448">
        <v>0</v>
      </c>
      <c r="AU448">
        <v>2668587</v>
      </c>
      <c r="AV448">
        <v>3020131</v>
      </c>
      <c r="AW448">
        <v>2964418</v>
      </c>
      <c r="AX448">
        <v>0</v>
      </c>
      <c r="AY448">
        <v>612388.625</v>
      </c>
      <c r="AZ448">
        <v>0</v>
      </c>
      <c r="BA448">
        <v>0</v>
      </c>
      <c r="BB448">
        <v>0</v>
      </c>
      <c r="BC448">
        <v>0</v>
      </c>
      <c r="BD448">
        <v>0</v>
      </c>
      <c r="BE448">
        <v>0</v>
      </c>
      <c r="BF448">
        <v>0</v>
      </c>
      <c r="BG448">
        <v>0</v>
      </c>
      <c r="BH448">
        <v>2668587.3125</v>
      </c>
      <c r="BI448">
        <v>3020131</v>
      </c>
      <c r="BJ448">
        <v>2964417.625</v>
      </c>
      <c r="BK448">
        <v>0</v>
      </c>
      <c r="BL448">
        <v>0</v>
      </c>
      <c r="BM448">
        <v>0</v>
      </c>
      <c r="BN448">
        <v>0</v>
      </c>
      <c r="BO448">
        <v>0</v>
      </c>
      <c r="BP448">
        <v>0</v>
      </c>
      <c r="BQ448">
        <v>0</v>
      </c>
      <c r="BR448">
        <v>0</v>
      </c>
      <c r="BS448">
        <v>0</v>
      </c>
      <c r="BT448">
        <v>0</v>
      </c>
      <c r="BU448">
        <v>0</v>
      </c>
      <c r="BV448">
        <v>0</v>
      </c>
      <c r="BW448">
        <v>0</v>
      </c>
    </row>
    <row r="449" spans="1:75" x14ac:dyDescent="0.55000000000000004">
      <c r="A449">
        <v>1381</v>
      </c>
      <c r="B449">
        <v>17.114000000000001</v>
      </c>
      <c r="C449">
        <v>858.67003999999997</v>
      </c>
      <c r="D449" t="s">
        <v>1095</v>
      </c>
      <c r="E449" t="s">
        <v>1</v>
      </c>
      <c r="F449" t="s">
        <v>2</v>
      </c>
      <c r="G449">
        <v>0.31</v>
      </c>
      <c r="H449" t="b">
        <v>1</v>
      </c>
      <c r="I449">
        <v>12.57</v>
      </c>
      <c r="J449">
        <v>858.66759999999999</v>
      </c>
      <c r="K449" t="s">
        <v>1096</v>
      </c>
      <c r="L449" t="s">
        <v>1097</v>
      </c>
      <c r="N449" t="s">
        <v>1098</v>
      </c>
      <c r="O449" t="s">
        <v>1538</v>
      </c>
      <c r="P449">
        <v>410</v>
      </c>
      <c r="Q449" t="b">
        <v>0</v>
      </c>
      <c r="R449" t="b">
        <v>1</v>
      </c>
      <c r="S449" t="b">
        <v>1</v>
      </c>
      <c r="T449" t="s">
        <v>7</v>
      </c>
      <c r="U449" t="b">
        <v>0</v>
      </c>
      <c r="V449" t="b">
        <v>0</v>
      </c>
      <c r="W449">
        <v>1381</v>
      </c>
      <c r="X449">
        <v>0</v>
      </c>
      <c r="Y449">
        <v>0</v>
      </c>
      <c r="Z449">
        <v>0.96</v>
      </c>
      <c r="AA449">
        <v>0.4</v>
      </c>
      <c r="AB449">
        <v>0.59199999999999997</v>
      </c>
      <c r="AC449">
        <v>0.85399999999999998</v>
      </c>
      <c r="AD449">
        <v>5</v>
      </c>
      <c r="AE449">
        <v>2</v>
      </c>
      <c r="AF449">
        <v>2.343</v>
      </c>
      <c r="AG449">
        <v>453.91</v>
      </c>
      <c r="AH449" t="s">
        <v>1480</v>
      </c>
      <c r="AI449" t="s">
        <v>1527</v>
      </c>
      <c r="AJ449" t="s">
        <v>1528</v>
      </c>
      <c r="AK449">
        <v>0</v>
      </c>
      <c r="AL449">
        <v>42075</v>
      </c>
      <c r="AM449">
        <v>0</v>
      </c>
      <c r="AN449">
        <v>0</v>
      </c>
      <c r="AO449">
        <v>0</v>
      </c>
      <c r="AP449">
        <v>0</v>
      </c>
      <c r="AQ449">
        <v>0</v>
      </c>
      <c r="AR449">
        <v>0</v>
      </c>
      <c r="AS449">
        <v>0</v>
      </c>
      <c r="AT449">
        <v>0</v>
      </c>
      <c r="AU449">
        <v>231438</v>
      </c>
      <c r="AV449">
        <v>267102</v>
      </c>
      <c r="AW449">
        <v>269973</v>
      </c>
      <c r="AX449">
        <v>0</v>
      </c>
      <c r="AY449">
        <v>42075.4375</v>
      </c>
      <c r="AZ449">
        <v>0</v>
      </c>
      <c r="BA449">
        <v>0</v>
      </c>
      <c r="BB449">
        <v>0</v>
      </c>
      <c r="BC449">
        <v>0</v>
      </c>
      <c r="BD449">
        <v>0</v>
      </c>
      <c r="BE449">
        <v>0</v>
      </c>
      <c r="BF449">
        <v>0</v>
      </c>
      <c r="BG449">
        <v>0</v>
      </c>
      <c r="BH449">
        <v>231438.4375</v>
      </c>
      <c r="BI449">
        <v>267102.4375</v>
      </c>
      <c r="BJ449">
        <v>269973</v>
      </c>
      <c r="BK449">
        <v>0</v>
      </c>
      <c r="BL449">
        <v>0</v>
      </c>
      <c r="BM449">
        <v>0</v>
      </c>
      <c r="BN449">
        <v>0</v>
      </c>
      <c r="BO449">
        <v>0</v>
      </c>
      <c r="BP449">
        <v>0</v>
      </c>
      <c r="BQ449">
        <v>0</v>
      </c>
      <c r="BR449">
        <v>0</v>
      </c>
      <c r="BS449">
        <v>0</v>
      </c>
      <c r="BT449">
        <v>0</v>
      </c>
      <c r="BU449">
        <v>0</v>
      </c>
      <c r="BV449">
        <v>0</v>
      </c>
      <c r="BW449">
        <v>0</v>
      </c>
    </row>
    <row r="450" spans="1:75" x14ac:dyDescent="0.55000000000000004">
      <c r="A450">
        <v>1383</v>
      </c>
      <c r="B450">
        <v>12.145</v>
      </c>
      <c r="C450">
        <v>859.53472999999997</v>
      </c>
      <c r="D450" t="s">
        <v>1529</v>
      </c>
      <c r="E450" t="s">
        <v>32</v>
      </c>
      <c r="F450" t="s">
        <v>2</v>
      </c>
      <c r="G450">
        <v>0.31</v>
      </c>
      <c r="H450" t="b">
        <v>1</v>
      </c>
      <c r="I450">
        <v>8.1959999999999997</v>
      </c>
      <c r="J450">
        <v>859.53417999999999</v>
      </c>
      <c r="K450" t="s">
        <v>1530</v>
      </c>
      <c r="L450" t="s">
        <v>1024</v>
      </c>
      <c r="N450" t="s">
        <v>1531</v>
      </c>
      <c r="O450" t="s">
        <v>1543</v>
      </c>
      <c r="P450">
        <v>410</v>
      </c>
      <c r="Q450" t="b">
        <v>0</v>
      </c>
      <c r="R450" t="b">
        <v>1</v>
      </c>
      <c r="S450" t="b">
        <v>1</v>
      </c>
      <c r="T450" t="s">
        <v>7</v>
      </c>
      <c r="U450" t="b">
        <v>0</v>
      </c>
      <c r="V450" t="b">
        <v>0</v>
      </c>
      <c r="W450">
        <v>1383</v>
      </c>
      <c r="X450">
        <v>0</v>
      </c>
      <c r="Y450">
        <v>0</v>
      </c>
      <c r="Z450">
        <v>1</v>
      </c>
      <c r="AA450">
        <v>0.59699999999999998</v>
      </c>
      <c r="AB450">
        <v>0.65500000000000003</v>
      </c>
      <c r="AC450">
        <v>0.80500000000000005</v>
      </c>
      <c r="AD450">
        <v>8</v>
      </c>
      <c r="AE450">
        <v>2</v>
      </c>
      <c r="AF450">
        <v>2.399</v>
      </c>
      <c r="AG450">
        <v>2047.25</v>
      </c>
      <c r="AH450" t="s">
        <v>1480</v>
      </c>
      <c r="AI450" t="s">
        <v>1533</v>
      </c>
      <c r="AJ450" t="s">
        <v>1534</v>
      </c>
      <c r="AK450">
        <v>0</v>
      </c>
      <c r="AL450">
        <v>89339</v>
      </c>
      <c r="AM450">
        <v>0</v>
      </c>
      <c r="AN450">
        <v>0</v>
      </c>
      <c r="AO450">
        <v>0</v>
      </c>
      <c r="AP450">
        <v>0</v>
      </c>
      <c r="AQ450">
        <v>0</v>
      </c>
      <c r="AR450">
        <v>0</v>
      </c>
      <c r="AS450">
        <v>0</v>
      </c>
      <c r="AT450">
        <v>0</v>
      </c>
      <c r="AU450">
        <v>679732</v>
      </c>
      <c r="AV450">
        <v>760312</v>
      </c>
      <c r="AW450">
        <v>774783</v>
      </c>
      <c r="AX450">
        <v>0</v>
      </c>
      <c r="AY450">
        <v>89338.875</v>
      </c>
      <c r="AZ450">
        <v>0</v>
      </c>
      <c r="BA450">
        <v>0</v>
      </c>
      <c r="BB450">
        <v>0</v>
      </c>
      <c r="BC450">
        <v>0</v>
      </c>
      <c r="BD450">
        <v>0</v>
      </c>
      <c r="BE450">
        <v>0</v>
      </c>
      <c r="BF450">
        <v>0</v>
      </c>
      <c r="BG450">
        <v>0</v>
      </c>
      <c r="BH450">
        <v>679731.75</v>
      </c>
      <c r="BI450">
        <v>760312.1875</v>
      </c>
      <c r="BJ450">
        <v>774783.0625</v>
      </c>
      <c r="BK450">
        <v>0</v>
      </c>
      <c r="BL450">
        <v>0</v>
      </c>
      <c r="BM450">
        <v>0</v>
      </c>
      <c r="BN450">
        <v>0</v>
      </c>
      <c r="BO450">
        <v>0</v>
      </c>
      <c r="BP450">
        <v>0</v>
      </c>
      <c r="BQ450">
        <v>0</v>
      </c>
      <c r="BR450">
        <v>0</v>
      </c>
      <c r="BS450">
        <v>0</v>
      </c>
      <c r="BT450">
        <v>0</v>
      </c>
      <c r="BU450">
        <v>0</v>
      </c>
      <c r="BV450">
        <v>0</v>
      </c>
      <c r="BW450">
        <v>0</v>
      </c>
    </row>
    <row r="451" spans="1:75" x14ac:dyDescent="0.55000000000000004">
      <c r="A451">
        <v>1391</v>
      </c>
      <c r="B451">
        <v>16.937000000000001</v>
      </c>
      <c r="C451">
        <v>859.68988000000002</v>
      </c>
      <c r="D451" t="s">
        <v>1535</v>
      </c>
      <c r="E451" t="s">
        <v>1</v>
      </c>
      <c r="F451" t="s">
        <v>2</v>
      </c>
      <c r="G451">
        <v>0.31</v>
      </c>
      <c r="H451" t="b">
        <v>1</v>
      </c>
      <c r="I451">
        <v>12.616</v>
      </c>
      <c r="J451">
        <v>859.69097999999997</v>
      </c>
      <c r="K451" t="s">
        <v>1536</v>
      </c>
      <c r="L451" t="s">
        <v>181</v>
      </c>
      <c r="N451" t="s">
        <v>1537</v>
      </c>
      <c r="O451" t="s">
        <v>1549</v>
      </c>
      <c r="P451">
        <v>410</v>
      </c>
      <c r="Q451" t="b">
        <v>0</v>
      </c>
      <c r="R451" t="b">
        <v>1</v>
      </c>
      <c r="S451" t="b">
        <v>1</v>
      </c>
      <c r="T451" t="s">
        <v>7</v>
      </c>
      <c r="U451" t="b">
        <v>0</v>
      </c>
      <c r="V451" t="b">
        <v>0</v>
      </c>
      <c r="W451">
        <v>1391</v>
      </c>
      <c r="X451">
        <v>0</v>
      </c>
      <c r="Y451">
        <v>0</v>
      </c>
      <c r="Z451">
        <v>1</v>
      </c>
      <c r="AA451">
        <v>0.80400000000000005</v>
      </c>
      <c r="AB451">
        <v>0.88500000000000001</v>
      </c>
      <c r="AC451">
        <v>0.94199999999999995</v>
      </c>
      <c r="AD451">
        <v>5</v>
      </c>
      <c r="AE451">
        <v>2</v>
      </c>
      <c r="AF451">
        <v>2.5489999999999999</v>
      </c>
      <c r="AG451">
        <v>3325.68</v>
      </c>
      <c r="AH451" t="s">
        <v>1480</v>
      </c>
      <c r="AI451" t="s">
        <v>1539</v>
      </c>
      <c r="AJ451" t="s">
        <v>1540</v>
      </c>
      <c r="AK451">
        <v>0</v>
      </c>
      <c r="AL451">
        <v>202623</v>
      </c>
      <c r="AM451">
        <v>0</v>
      </c>
      <c r="AN451">
        <v>0</v>
      </c>
      <c r="AO451">
        <v>0</v>
      </c>
      <c r="AP451">
        <v>0</v>
      </c>
      <c r="AQ451">
        <v>0</v>
      </c>
      <c r="AR451">
        <v>0</v>
      </c>
      <c r="AS451">
        <v>0</v>
      </c>
      <c r="AT451">
        <v>0</v>
      </c>
      <c r="AU451">
        <v>1347925</v>
      </c>
      <c r="AV451">
        <v>1508540</v>
      </c>
      <c r="AW451">
        <v>1547991</v>
      </c>
      <c r="AX451">
        <v>0</v>
      </c>
      <c r="AY451">
        <v>202623.0625</v>
      </c>
      <c r="AZ451">
        <v>0</v>
      </c>
      <c r="BA451">
        <v>0</v>
      </c>
      <c r="BB451">
        <v>0</v>
      </c>
      <c r="BC451">
        <v>0</v>
      </c>
      <c r="BD451">
        <v>0</v>
      </c>
      <c r="BE451">
        <v>0</v>
      </c>
      <c r="BF451">
        <v>0</v>
      </c>
      <c r="BG451">
        <v>0</v>
      </c>
      <c r="BH451">
        <v>1347925.1875</v>
      </c>
      <c r="BI451">
        <v>1508540.25</v>
      </c>
      <c r="BJ451">
        <v>1547990.8125</v>
      </c>
      <c r="BK451">
        <v>0</v>
      </c>
      <c r="BL451">
        <v>0</v>
      </c>
      <c r="BM451">
        <v>0</v>
      </c>
      <c r="BN451">
        <v>0</v>
      </c>
      <c r="BO451">
        <v>0</v>
      </c>
      <c r="BP451">
        <v>0</v>
      </c>
      <c r="BQ451">
        <v>0</v>
      </c>
      <c r="BR451">
        <v>0</v>
      </c>
      <c r="BS451">
        <v>0</v>
      </c>
      <c r="BT451">
        <v>0</v>
      </c>
      <c r="BU451">
        <v>0</v>
      </c>
      <c r="BV451">
        <v>0</v>
      </c>
      <c r="BW451">
        <v>0</v>
      </c>
    </row>
    <row r="452" spans="1:75" x14ac:dyDescent="0.55000000000000004">
      <c r="A452">
        <v>1392</v>
      </c>
      <c r="B452">
        <v>17.504999999999999</v>
      </c>
      <c r="C452">
        <v>859.69048999999995</v>
      </c>
      <c r="D452" t="s">
        <v>1541</v>
      </c>
      <c r="E452" t="s">
        <v>1</v>
      </c>
      <c r="F452" t="s">
        <v>2</v>
      </c>
      <c r="G452">
        <v>0.31</v>
      </c>
      <c r="H452" t="b">
        <v>1</v>
      </c>
      <c r="I452">
        <v>12.976000000000001</v>
      </c>
      <c r="J452">
        <v>859.69097999999997</v>
      </c>
      <c r="K452" t="s">
        <v>1536</v>
      </c>
      <c r="L452" t="s">
        <v>181</v>
      </c>
      <c r="N452" t="s">
        <v>1542</v>
      </c>
      <c r="O452" t="s">
        <v>1555</v>
      </c>
      <c r="P452">
        <v>410</v>
      </c>
      <c r="Q452" t="b">
        <v>0</v>
      </c>
      <c r="R452" t="b">
        <v>1</v>
      </c>
      <c r="S452" t="b">
        <v>1</v>
      </c>
      <c r="T452" t="s">
        <v>7</v>
      </c>
      <c r="U452" t="b">
        <v>0</v>
      </c>
      <c r="V452" t="b">
        <v>0</v>
      </c>
      <c r="W452">
        <v>1392</v>
      </c>
      <c r="X452">
        <v>0</v>
      </c>
      <c r="Y452">
        <v>0</v>
      </c>
      <c r="Z452">
        <v>1</v>
      </c>
      <c r="AA452">
        <v>0.85599999999999998</v>
      </c>
      <c r="AB452">
        <v>0.91400000000000003</v>
      </c>
      <c r="AC452">
        <v>0.94599999999999995</v>
      </c>
      <c r="AD452">
        <v>5</v>
      </c>
      <c r="AE452">
        <v>2</v>
      </c>
      <c r="AF452">
        <v>2.569</v>
      </c>
      <c r="AG452">
        <v>60451.93</v>
      </c>
      <c r="AH452" t="s">
        <v>1459</v>
      </c>
      <c r="AI452" t="s">
        <v>1544</v>
      </c>
      <c r="AJ452" t="s">
        <v>1545</v>
      </c>
      <c r="AK452">
        <v>0</v>
      </c>
      <c r="AL452">
        <v>4710425</v>
      </c>
      <c r="AM452">
        <v>0</v>
      </c>
      <c r="AN452">
        <v>0</v>
      </c>
      <c r="AO452">
        <v>0</v>
      </c>
      <c r="AP452">
        <v>0</v>
      </c>
      <c r="AQ452">
        <v>0</v>
      </c>
      <c r="AR452">
        <v>0</v>
      </c>
      <c r="AS452">
        <v>0</v>
      </c>
      <c r="AT452">
        <v>0</v>
      </c>
      <c r="AU452">
        <v>23755572</v>
      </c>
      <c r="AV452">
        <v>26988703</v>
      </c>
      <c r="AW452">
        <v>27303752</v>
      </c>
      <c r="AX452">
        <v>0</v>
      </c>
      <c r="AY452">
        <v>4710424.9375</v>
      </c>
      <c r="AZ452">
        <v>0</v>
      </c>
      <c r="BA452">
        <v>0</v>
      </c>
      <c r="BB452">
        <v>0</v>
      </c>
      <c r="BC452">
        <v>0</v>
      </c>
      <c r="BD452">
        <v>0</v>
      </c>
      <c r="BE452">
        <v>0</v>
      </c>
      <c r="BF452">
        <v>0</v>
      </c>
      <c r="BG452">
        <v>0</v>
      </c>
      <c r="BH452">
        <v>23755571.6875</v>
      </c>
      <c r="BI452">
        <v>26988703.0625</v>
      </c>
      <c r="BJ452">
        <v>27303752.125</v>
      </c>
      <c r="BK452">
        <v>0</v>
      </c>
      <c r="BL452">
        <v>0</v>
      </c>
      <c r="BM452">
        <v>0</v>
      </c>
      <c r="BN452">
        <v>0</v>
      </c>
      <c r="BO452">
        <v>0</v>
      </c>
      <c r="BP452">
        <v>0</v>
      </c>
      <c r="BQ452">
        <v>0</v>
      </c>
      <c r="BR452">
        <v>0</v>
      </c>
      <c r="BS452">
        <v>0</v>
      </c>
      <c r="BT452">
        <v>0</v>
      </c>
      <c r="BU452">
        <v>0</v>
      </c>
      <c r="BV452">
        <v>0</v>
      </c>
      <c r="BW452">
        <v>0</v>
      </c>
    </row>
    <row r="453" spans="1:75" x14ac:dyDescent="0.55000000000000004">
      <c r="A453">
        <v>1402</v>
      </c>
      <c r="B453">
        <v>16.559000000000001</v>
      </c>
      <c r="C453">
        <v>860.63671999999997</v>
      </c>
      <c r="D453" t="s">
        <v>1546</v>
      </c>
      <c r="E453" t="s">
        <v>1</v>
      </c>
      <c r="F453" t="s">
        <v>2</v>
      </c>
      <c r="G453">
        <v>0.15</v>
      </c>
      <c r="H453" t="b">
        <v>1</v>
      </c>
      <c r="I453">
        <v>11.944000000000001</v>
      </c>
      <c r="J453">
        <v>860.63860999999997</v>
      </c>
      <c r="K453" t="s">
        <v>1547</v>
      </c>
      <c r="L453" t="s">
        <v>660</v>
      </c>
      <c r="N453" t="s">
        <v>1548</v>
      </c>
      <c r="O453" t="s">
        <v>1561</v>
      </c>
      <c r="P453">
        <v>410</v>
      </c>
      <c r="Q453" t="b">
        <v>0</v>
      </c>
      <c r="R453" t="b">
        <v>1</v>
      </c>
      <c r="S453" t="b">
        <v>1</v>
      </c>
      <c r="T453" t="s">
        <v>7</v>
      </c>
      <c r="U453" t="b">
        <v>0</v>
      </c>
      <c r="V453" t="b">
        <v>0</v>
      </c>
      <c r="W453">
        <v>1402</v>
      </c>
      <c r="X453">
        <v>0</v>
      </c>
      <c r="Y453">
        <v>0</v>
      </c>
      <c r="Z453">
        <v>0.98</v>
      </c>
      <c r="AA453">
        <v>0.55200000000000005</v>
      </c>
      <c r="AB453">
        <v>0.57299999999999995</v>
      </c>
      <c r="AC453">
        <v>0.82399999999999995</v>
      </c>
      <c r="AD453">
        <v>7</v>
      </c>
      <c r="AE453">
        <v>2</v>
      </c>
      <c r="AF453">
        <v>2.371</v>
      </c>
      <c r="AG453">
        <v>822.42</v>
      </c>
      <c r="AH453" t="s">
        <v>1471</v>
      </c>
      <c r="AI453" t="s">
        <v>1550</v>
      </c>
      <c r="AJ453" t="s">
        <v>1551</v>
      </c>
      <c r="AK453">
        <v>0</v>
      </c>
      <c r="AL453">
        <v>92701</v>
      </c>
      <c r="AM453">
        <v>0</v>
      </c>
      <c r="AN453">
        <v>0</v>
      </c>
      <c r="AO453">
        <v>0</v>
      </c>
      <c r="AP453">
        <v>0</v>
      </c>
      <c r="AQ453">
        <v>0</v>
      </c>
      <c r="AR453">
        <v>0</v>
      </c>
      <c r="AS453">
        <v>0</v>
      </c>
      <c r="AT453">
        <v>0</v>
      </c>
      <c r="AU453">
        <v>404965</v>
      </c>
      <c r="AV453">
        <v>453814</v>
      </c>
      <c r="AW453">
        <v>454775</v>
      </c>
      <c r="AX453">
        <v>0</v>
      </c>
      <c r="AY453">
        <v>92701.4375</v>
      </c>
      <c r="AZ453">
        <v>0</v>
      </c>
      <c r="BA453">
        <v>0</v>
      </c>
      <c r="BB453">
        <v>0</v>
      </c>
      <c r="BC453">
        <v>0</v>
      </c>
      <c r="BD453">
        <v>0</v>
      </c>
      <c r="BE453">
        <v>0</v>
      </c>
      <c r="BF453">
        <v>0</v>
      </c>
      <c r="BG453">
        <v>0</v>
      </c>
      <c r="BH453">
        <v>404964.875</v>
      </c>
      <c r="BI453">
        <v>453813.9375</v>
      </c>
      <c r="BJ453">
        <v>454774.875</v>
      </c>
      <c r="BK453">
        <v>0</v>
      </c>
      <c r="BL453">
        <v>0</v>
      </c>
      <c r="BM453">
        <v>0</v>
      </c>
      <c r="BN453">
        <v>0</v>
      </c>
      <c r="BO453">
        <v>0</v>
      </c>
      <c r="BP453">
        <v>0</v>
      </c>
      <c r="BQ453">
        <v>0</v>
      </c>
      <c r="BR453">
        <v>0</v>
      </c>
      <c r="BS453">
        <v>0</v>
      </c>
      <c r="BT453">
        <v>0</v>
      </c>
      <c r="BU453">
        <v>0</v>
      </c>
      <c r="BV453">
        <v>0</v>
      </c>
      <c r="BW453">
        <v>0</v>
      </c>
    </row>
    <row r="454" spans="1:75" x14ac:dyDescent="0.55000000000000004">
      <c r="A454">
        <v>1403</v>
      </c>
      <c r="B454">
        <v>16.297999999999998</v>
      </c>
      <c r="C454">
        <v>860.64928999999995</v>
      </c>
      <c r="D454" t="s">
        <v>1552</v>
      </c>
      <c r="E454" t="s">
        <v>32</v>
      </c>
      <c r="F454" t="s">
        <v>2</v>
      </c>
      <c r="G454">
        <v>0.31</v>
      </c>
      <c r="H454" t="b">
        <v>1</v>
      </c>
      <c r="I454">
        <v>12.696</v>
      </c>
      <c r="J454">
        <v>860.65386999999998</v>
      </c>
      <c r="K454" t="s">
        <v>1553</v>
      </c>
      <c r="L454" t="s">
        <v>124</v>
      </c>
      <c r="N454" t="s">
        <v>1554</v>
      </c>
      <c r="O454" t="s">
        <v>1561</v>
      </c>
      <c r="P454">
        <v>410</v>
      </c>
      <c r="Q454" t="b">
        <v>0</v>
      </c>
      <c r="R454" t="b">
        <v>1</v>
      </c>
      <c r="S454" t="b">
        <v>1</v>
      </c>
      <c r="T454" t="s">
        <v>7</v>
      </c>
      <c r="U454" t="b">
        <v>0</v>
      </c>
      <c r="V454" t="b">
        <v>0</v>
      </c>
      <c r="W454">
        <v>1403</v>
      </c>
      <c r="X454">
        <v>0</v>
      </c>
      <c r="Y454">
        <v>0</v>
      </c>
      <c r="Z454">
        <v>0.89</v>
      </c>
      <c r="AA454">
        <v>0.35699999999999998</v>
      </c>
      <c r="AB454">
        <v>0.47699999999999998</v>
      </c>
      <c r="AC454">
        <v>0.66800000000000004</v>
      </c>
      <c r="AD454">
        <v>2</v>
      </c>
      <c r="AE454">
        <v>2</v>
      </c>
      <c r="AF454">
        <v>2.1970000000000001</v>
      </c>
      <c r="AG454">
        <v>301.04000000000002</v>
      </c>
      <c r="AH454" t="s">
        <v>1480</v>
      </c>
      <c r="AI454" t="s">
        <v>1556</v>
      </c>
      <c r="AJ454" t="s">
        <v>1557</v>
      </c>
      <c r="AK454">
        <v>0</v>
      </c>
      <c r="AL454">
        <v>28498</v>
      </c>
      <c r="AM454">
        <v>0</v>
      </c>
      <c r="AN454">
        <v>0</v>
      </c>
      <c r="AO454">
        <v>0</v>
      </c>
      <c r="AP454">
        <v>0</v>
      </c>
      <c r="AQ454">
        <v>0</v>
      </c>
      <c r="AR454">
        <v>0</v>
      </c>
      <c r="AS454">
        <v>0</v>
      </c>
      <c r="AT454">
        <v>0</v>
      </c>
      <c r="AU454">
        <v>137567</v>
      </c>
      <c r="AV454">
        <v>161076</v>
      </c>
      <c r="AW454">
        <v>163858</v>
      </c>
      <c r="AX454">
        <v>0</v>
      </c>
      <c r="AY454">
        <v>28498.0625</v>
      </c>
      <c r="AZ454">
        <v>0</v>
      </c>
      <c r="BA454">
        <v>0</v>
      </c>
      <c r="BB454">
        <v>0</v>
      </c>
      <c r="BC454">
        <v>0</v>
      </c>
      <c r="BD454">
        <v>0</v>
      </c>
      <c r="BE454">
        <v>0</v>
      </c>
      <c r="BF454">
        <v>0</v>
      </c>
      <c r="BG454">
        <v>0</v>
      </c>
      <c r="BH454">
        <v>137566.9375</v>
      </c>
      <c r="BI454">
        <v>161075.5625</v>
      </c>
      <c r="BJ454">
        <v>163857.6875</v>
      </c>
      <c r="BK454">
        <v>0</v>
      </c>
      <c r="BL454">
        <v>0</v>
      </c>
      <c r="BM454">
        <v>0</v>
      </c>
      <c r="BN454">
        <v>0</v>
      </c>
      <c r="BO454">
        <v>0</v>
      </c>
      <c r="BP454">
        <v>0</v>
      </c>
      <c r="BQ454">
        <v>0</v>
      </c>
      <c r="BR454">
        <v>0</v>
      </c>
      <c r="BS454">
        <v>0</v>
      </c>
      <c r="BT454">
        <v>0</v>
      </c>
      <c r="BU454">
        <v>0</v>
      </c>
      <c r="BV454">
        <v>0</v>
      </c>
      <c r="BW454">
        <v>0</v>
      </c>
    </row>
    <row r="455" spans="1:75" x14ac:dyDescent="0.55000000000000004">
      <c r="A455">
        <v>1422</v>
      </c>
      <c r="B455">
        <v>14.736000000000001</v>
      </c>
      <c r="C455">
        <v>862.59528</v>
      </c>
      <c r="D455" t="s">
        <v>1558</v>
      </c>
      <c r="E455" t="s">
        <v>1</v>
      </c>
      <c r="F455" t="s">
        <v>2</v>
      </c>
      <c r="G455">
        <v>0.31</v>
      </c>
      <c r="H455" t="b">
        <v>1</v>
      </c>
      <c r="I455">
        <v>9.5220000000000002</v>
      </c>
      <c r="J455">
        <v>862.59667999999999</v>
      </c>
      <c r="K455" t="s">
        <v>1559</v>
      </c>
      <c r="L455" t="s">
        <v>329</v>
      </c>
      <c r="N455" t="s">
        <v>1560</v>
      </c>
      <c r="O455" t="s">
        <v>1569</v>
      </c>
      <c r="P455">
        <v>410</v>
      </c>
      <c r="Q455" t="b">
        <v>0</v>
      </c>
      <c r="R455" t="b">
        <v>1</v>
      </c>
      <c r="S455" t="b">
        <v>1</v>
      </c>
      <c r="T455" t="s">
        <v>7</v>
      </c>
      <c r="U455" t="b">
        <v>0</v>
      </c>
      <c r="V455" t="b">
        <v>0</v>
      </c>
      <c r="W455">
        <v>1422</v>
      </c>
      <c r="X455">
        <v>0</v>
      </c>
      <c r="Y455">
        <v>0</v>
      </c>
      <c r="Z455">
        <v>0.98</v>
      </c>
      <c r="AA455">
        <v>0.51700000000000002</v>
      </c>
      <c r="AB455">
        <v>0.71799999999999997</v>
      </c>
      <c r="AC455">
        <v>0.88200000000000001</v>
      </c>
      <c r="AD455">
        <v>4</v>
      </c>
      <c r="AE455">
        <v>2</v>
      </c>
      <c r="AF455">
        <v>2.42</v>
      </c>
      <c r="AG455">
        <v>546.88</v>
      </c>
      <c r="AH455" t="s">
        <v>1480</v>
      </c>
      <c r="AI455" t="s">
        <v>1562</v>
      </c>
      <c r="AJ455" t="s">
        <v>1563</v>
      </c>
      <c r="AK455">
        <v>0</v>
      </c>
      <c r="AL455">
        <v>58194</v>
      </c>
      <c r="AM455">
        <v>0</v>
      </c>
      <c r="AN455">
        <v>0</v>
      </c>
      <c r="AO455">
        <v>0</v>
      </c>
      <c r="AP455">
        <v>0</v>
      </c>
      <c r="AQ455">
        <v>0</v>
      </c>
      <c r="AR455">
        <v>0</v>
      </c>
      <c r="AS455">
        <v>0</v>
      </c>
      <c r="AT455">
        <v>0</v>
      </c>
      <c r="AU455">
        <v>226388</v>
      </c>
      <c r="AV455">
        <v>257860</v>
      </c>
      <c r="AW455">
        <v>264189</v>
      </c>
      <c r="AX455">
        <v>0</v>
      </c>
      <c r="AY455">
        <v>58193.8125</v>
      </c>
      <c r="AZ455">
        <v>0</v>
      </c>
      <c r="BA455">
        <v>0</v>
      </c>
      <c r="BB455">
        <v>0</v>
      </c>
      <c r="BC455">
        <v>0</v>
      </c>
      <c r="BD455">
        <v>0</v>
      </c>
      <c r="BE455">
        <v>0</v>
      </c>
      <c r="BF455">
        <v>0</v>
      </c>
      <c r="BG455">
        <v>0</v>
      </c>
      <c r="BH455">
        <v>226387.75</v>
      </c>
      <c r="BI455">
        <v>257859.5625</v>
      </c>
      <c r="BJ455">
        <v>264188.625</v>
      </c>
      <c r="BK455">
        <v>0</v>
      </c>
      <c r="BL455">
        <v>0</v>
      </c>
      <c r="BM455">
        <v>0</v>
      </c>
      <c r="BN455">
        <v>0</v>
      </c>
      <c r="BO455">
        <v>0</v>
      </c>
      <c r="BP455">
        <v>0</v>
      </c>
      <c r="BQ455">
        <v>0</v>
      </c>
      <c r="BR455">
        <v>0</v>
      </c>
      <c r="BS455">
        <v>0</v>
      </c>
      <c r="BT455">
        <v>0</v>
      </c>
      <c r="BU455">
        <v>0</v>
      </c>
      <c r="BV455">
        <v>0</v>
      </c>
      <c r="BW455">
        <v>0</v>
      </c>
    </row>
    <row r="456" spans="1:75" x14ac:dyDescent="0.55000000000000004">
      <c r="A456">
        <v>1423</v>
      </c>
      <c r="B456">
        <v>13.755000000000001</v>
      </c>
      <c r="C456">
        <v>862.59613000000002</v>
      </c>
      <c r="D456" t="s">
        <v>1558</v>
      </c>
      <c r="E456" t="s">
        <v>1</v>
      </c>
      <c r="F456" t="s">
        <v>2</v>
      </c>
      <c r="G456">
        <v>0.31</v>
      </c>
      <c r="H456" t="b">
        <v>1</v>
      </c>
      <c r="I456">
        <v>9.5220000000000002</v>
      </c>
      <c r="J456">
        <v>862.59667999999999</v>
      </c>
      <c r="K456" t="s">
        <v>1559</v>
      </c>
      <c r="L456" t="s">
        <v>329</v>
      </c>
      <c r="N456" t="s">
        <v>1560</v>
      </c>
      <c r="O456" t="s">
        <v>1575</v>
      </c>
      <c r="P456">
        <v>410</v>
      </c>
      <c r="Q456" t="b">
        <v>0</v>
      </c>
      <c r="R456" t="b">
        <v>1</v>
      </c>
      <c r="S456" t="b">
        <v>1</v>
      </c>
      <c r="T456" t="s">
        <v>7</v>
      </c>
      <c r="U456" t="b">
        <v>0</v>
      </c>
      <c r="V456" t="b">
        <v>0</v>
      </c>
      <c r="W456">
        <v>1423</v>
      </c>
      <c r="X456">
        <v>0</v>
      </c>
      <c r="Y456">
        <v>0</v>
      </c>
      <c r="Z456">
        <v>1</v>
      </c>
      <c r="AA456">
        <v>0.55100000000000005</v>
      </c>
      <c r="AB456">
        <v>0.74099999999999999</v>
      </c>
      <c r="AC456">
        <v>0.88200000000000001</v>
      </c>
      <c r="AD456">
        <v>4</v>
      </c>
      <c r="AE456">
        <v>2</v>
      </c>
      <c r="AF456">
        <v>2.4390000000000001</v>
      </c>
      <c r="AG456">
        <v>1124.2</v>
      </c>
      <c r="AH456" t="s">
        <v>1480</v>
      </c>
      <c r="AI456" t="s">
        <v>1564</v>
      </c>
      <c r="AJ456" t="s">
        <v>1565</v>
      </c>
      <c r="AK456">
        <v>0</v>
      </c>
      <c r="AL456">
        <v>110048</v>
      </c>
      <c r="AM456">
        <v>0</v>
      </c>
      <c r="AN456">
        <v>0</v>
      </c>
      <c r="AO456">
        <v>0</v>
      </c>
      <c r="AP456">
        <v>0</v>
      </c>
      <c r="AQ456">
        <v>0</v>
      </c>
      <c r="AR456">
        <v>0</v>
      </c>
      <c r="AS456">
        <v>0</v>
      </c>
      <c r="AT456">
        <v>0</v>
      </c>
      <c r="AU456">
        <v>461071</v>
      </c>
      <c r="AV456">
        <v>528805</v>
      </c>
      <c r="AW456">
        <v>541673</v>
      </c>
      <c r="AX456">
        <v>0</v>
      </c>
      <c r="AY456">
        <v>110048.3125</v>
      </c>
      <c r="AZ456">
        <v>0</v>
      </c>
      <c r="BA456">
        <v>0</v>
      </c>
      <c r="BB456">
        <v>0</v>
      </c>
      <c r="BC456">
        <v>0</v>
      </c>
      <c r="BD456">
        <v>0</v>
      </c>
      <c r="BE456">
        <v>0</v>
      </c>
      <c r="BF456">
        <v>0</v>
      </c>
      <c r="BG456">
        <v>0</v>
      </c>
      <c r="BH456">
        <v>461071.0625</v>
      </c>
      <c r="BI456">
        <v>528805.375</v>
      </c>
      <c r="BJ456">
        <v>541672.875</v>
      </c>
      <c r="BK456">
        <v>0</v>
      </c>
      <c r="BL456">
        <v>0</v>
      </c>
      <c r="BM456">
        <v>0</v>
      </c>
      <c r="BN456">
        <v>0</v>
      </c>
      <c r="BO456">
        <v>0</v>
      </c>
      <c r="BP456">
        <v>0</v>
      </c>
      <c r="BQ456">
        <v>0</v>
      </c>
      <c r="BR456">
        <v>0</v>
      </c>
      <c r="BS456">
        <v>0</v>
      </c>
      <c r="BT456">
        <v>0</v>
      </c>
      <c r="BU456">
        <v>0</v>
      </c>
      <c r="BV456">
        <v>0</v>
      </c>
      <c r="BW456">
        <v>0</v>
      </c>
    </row>
    <row r="457" spans="1:75" x14ac:dyDescent="0.55000000000000004">
      <c r="A457">
        <v>1429</v>
      </c>
      <c r="B457">
        <v>17.126000000000001</v>
      </c>
      <c r="C457">
        <v>862.66516000000001</v>
      </c>
      <c r="D457" t="s">
        <v>1566</v>
      </c>
      <c r="E457" t="s">
        <v>32</v>
      </c>
      <c r="F457" t="s">
        <v>2</v>
      </c>
      <c r="G457">
        <v>0.31</v>
      </c>
      <c r="H457" t="b">
        <v>1</v>
      </c>
      <c r="I457">
        <v>12.922000000000001</v>
      </c>
      <c r="J457">
        <v>862.66949</v>
      </c>
      <c r="K457" t="s">
        <v>1567</v>
      </c>
      <c r="L457" t="s">
        <v>124</v>
      </c>
      <c r="N457" t="s">
        <v>1568</v>
      </c>
      <c r="O457" t="s">
        <v>1581</v>
      </c>
      <c r="P457">
        <v>410</v>
      </c>
      <c r="Q457" t="b">
        <v>0</v>
      </c>
      <c r="R457" t="b">
        <v>1</v>
      </c>
      <c r="S457" t="b">
        <v>1</v>
      </c>
      <c r="T457" t="s">
        <v>7</v>
      </c>
      <c r="U457" t="b">
        <v>0</v>
      </c>
      <c r="V457" t="b">
        <v>0</v>
      </c>
      <c r="W457">
        <v>1429</v>
      </c>
      <c r="X457">
        <v>0</v>
      </c>
      <c r="Y457">
        <v>0</v>
      </c>
      <c r="Z457">
        <v>0.88</v>
      </c>
      <c r="AA457">
        <v>0.51600000000000001</v>
      </c>
      <c r="AB457">
        <v>0.55800000000000005</v>
      </c>
      <c r="AC457">
        <v>0.88800000000000001</v>
      </c>
      <c r="AD457">
        <v>3</v>
      </c>
      <c r="AE457">
        <v>2</v>
      </c>
      <c r="AF457">
        <v>2.3380000000000001</v>
      </c>
      <c r="AG457">
        <v>596.20000000000005</v>
      </c>
      <c r="AH457" t="s">
        <v>1480</v>
      </c>
      <c r="AI457" t="s">
        <v>1570</v>
      </c>
      <c r="AJ457" t="s">
        <v>1571</v>
      </c>
      <c r="AK457">
        <v>0</v>
      </c>
      <c r="AL457">
        <v>58674</v>
      </c>
      <c r="AM457">
        <v>0</v>
      </c>
      <c r="AN457">
        <v>0</v>
      </c>
      <c r="AO457">
        <v>0</v>
      </c>
      <c r="AP457">
        <v>0</v>
      </c>
      <c r="AQ457">
        <v>0</v>
      </c>
      <c r="AR457">
        <v>0</v>
      </c>
      <c r="AS457">
        <v>0</v>
      </c>
      <c r="AT457">
        <v>0</v>
      </c>
      <c r="AU457">
        <v>250685</v>
      </c>
      <c r="AV457">
        <v>292723</v>
      </c>
      <c r="AW457">
        <v>294490</v>
      </c>
      <c r="AX457">
        <v>0</v>
      </c>
      <c r="AY457">
        <v>58673.8125</v>
      </c>
      <c r="AZ457">
        <v>0</v>
      </c>
      <c r="BA457">
        <v>0</v>
      </c>
      <c r="BB457">
        <v>0</v>
      </c>
      <c r="BC457">
        <v>0</v>
      </c>
      <c r="BD457">
        <v>0</v>
      </c>
      <c r="BE457">
        <v>0</v>
      </c>
      <c r="BF457">
        <v>0</v>
      </c>
      <c r="BG457">
        <v>0</v>
      </c>
      <c r="BH457">
        <v>250685</v>
      </c>
      <c r="BI457">
        <v>292722.875</v>
      </c>
      <c r="BJ457">
        <v>294490.4375</v>
      </c>
      <c r="BK457">
        <v>0</v>
      </c>
      <c r="BL457">
        <v>0</v>
      </c>
      <c r="BM457">
        <v>0</v>
      </c>
      <c r="BN457">
        <v>0</v>
      </c>
      <c r="BO457">
        <v>0</v>
      </c>
      <c r="BP457">
        <v>0</v>
      </c>
      <c r="BQ457">
        <v>0</v>
      </c>
      <c r="BR457">
        <v>0</v>
      </c>
      <c r="BS457">
        <v>0</v>
      </c>
      <c r="BT457">
        <v>0</v>
      </c>
      <c r="BU457">
        <v>0</v>
      </c>
      <c r="BV457">
        <v>0</v>
      </c>
      <c r="BW457">
        <v>0</v>
      </c>
    </row>
    <row r="458" spans="1:75" x14ac:dyDescent="0.55000000000000004">
      <c r="A458">
        <v>1433</v>
      </c>
      <c r="B458">
        <v>14.436999999999999</v>
      </c>
      <c r="C458">
        <v>863.56519000000003</v>
      </c>
      <c r="D458" t="s">
        <v>1572</v>
      </c>
      <c r="E458" t="s">
        <v>32</v>
      </c>
      <c r="F458" t="s">
        <v>2</v>
      </c>
      <c r="G458">
        <v>0.31</v>
      </c>
      <c r="H458" t="b">
        <v>1</v>
      </c>
      <c r="I458">
        <v>9.1470000000000002</v>
      </c>
      <c r="J458">
        <v>863.56548999999995</v>
      </c>
      <c r="K458" t="s">
        <v>1573</v>
      </c>
      <c r="L458" t="s">
        <v>1024</v>
      </c>
      <c r="N458" t="s">
        <v>1574</v>
      </c>
      <c r="O458" t="s">
        <v>1581</v>
      </c>
      <c r="P458">
        <v>410</v>
      </c>
      <c r="Q458" t="b">
        <v>0</v>
      </c>
      <c r="R458" t="b">
        <v>1</v>
      </c>
      <c r="S458" t="b">
        <v>1</v>
      </c>
      <c r="T458" t="s">
        <v>7</v>
      </c>
      <c r="U458" t="b">
        <v>0</v>
      </c>
      <c r="V458" t="b">
        <v>0</v>
      </c>
      <c r="W458">
        <v>1433</v>
      </c>
      <c r="X458">
        <v>0</v>
      </c>
      <c r="Y458">
        <v>0</v>
      </c>
      <c r="Z458">
        <v>1</v>
      </c>
      <c r="AA458">
        <v>0.7</v>
      </c>
      <c r="AB458">
        <v>0.751</v>
      </c>
      <c r="AC458">
        <v>0.871</v>
      </c>
      <c r="AD458">
        <v>9</v>
      </c>
      <c r="AE458">
        <v>2</v>
      </c>
      <c r="AF458">
        <v>2.4689999999999999</v>
      </c>
      <c r="AG458">
        <v>10853.95</v>
      </c>
      <c r="AH458" t="s">
        <v>1480</v>
      </c>
      <c r="AI458" t="s">
        <v>1576</v>
      </c>
      <c r="AJ458" t="s">
        <v>1577</v>
      </c>
      <c r="AK458">
        <v>0</v>
      </c>
      <c r="AL458">
        <v>362626</v>
      </c>
      <c r="AM458">
        <v>0</v>
      </c>
      <c r="AN458">
        <v>0</v>
      </c>
      <c r="AO458">
        <v>0</v>
      </c>
      <c r="AP458">
        <v>0</v>
      </c>
      <c r="AQ458">
        <v>0</v>
      </c>
      <c r="AR458">
        <v>0</v>
      </c>
      <c r="AS458">
        <v>0</v>
      </c>
      <c r="AT458">
        <v>0</v>
      </c>
      <c r="AU458">
        <v>2226630</v>
      </c>
      <c r="AV458">
        <v>2576330</v>
      </c>
      <c r="AW458">
        <v>2644100</v>
      </c>
      <c r="AX458">
        <v>0</v>
      </c>
      <c r="AY458">
        <v>362626.4375</v>
      </c>
      <c r="AZ458">
        <v>0</v>
      </c>
      <c r="BA458">
        <v>0</v>
      </c>
      <c r="BB458">
        <v>0</v>
      </c>
      <c r="BC458">
        <v>0</v>
      </c>
      <c r="BD458">
        <v>0</v>
      </c>
      <c r="BE458">
        <v>0</v>
      </c>
      <c r="BF458">
        <v>0</v>
      </c>
      <c r="BG458">
        <v>0</v>
      </c>
      <c r="BH458">
        <v>2226629.5</v>
      </c>
      <c r="BI458">
        <v>2576330.125</v>
      </c>
      <c r="BJ458">
        <v>2644099.875</v>
      </c>
      <c r="BK458">
        <v>0</v>
      </c>
      <c r="BL458">
        <v>0</v>
      </c>
      <c r="BM458">
        <v>0</v>
      </c>
      <c r="BN458">
        <v>0</v>
      </c>
      <c r="BO458">
        <v>0</v>
      </c>
      <c r="BP458">
        <v>0</v>
      </c>
      <c r="BQ458">
        <v>0</v>
      </c>
      <c r="BR458">
        <v>0</v>
      </c>
      <c r="BS458">
        <v>0</v>
      </c>
      <c r="BT458">
        <v>0</v>
      </c>
      <c r="BU458">
        <v>0</v>
      </c>
      <c r="BV458">
        <v>0</v>
      </c>
      <c r="BW458">
        <v>0</v>
      </c>
    </row>
    <row r="459" spans="1:75" x14ac:dyDescent="0.55000000000000004">
      <c r="A459">
        <v>1436</v>
      </c>
      <c r="B459">
        <v>13.625999999999999</v>
      </c>
      <c r="C459">
        <v>864.57592999999997</v>
      </c>
      <c r="D459" t="s">
        <v>1578</v>
      </c>
      <c r="E459" t="s">
        <v>1</v>
      </c>
      <c r="F459" t="s">
        <v>2</v>
      </c>
      <c r="G459">
        <v>0.31</v>
      </c>
      <c r="H459" t="b">
        <v>1</v>
      </c>
      <c r="I459">
        <v>9.3940000000000001</v>
      </c>
      <c r="J459">
        <v>864.57599000000005</v>
      </c>
      <c r="K459" t="s">
        <v>1579</v>
      </c>
      <c r="L459" t="s">
        <v>660</v>
      </c>
      <c r="N459" t="s">
        <v>1580</v>
      </c>
      <c r="O459" t="s">
        <v>1590</v>
      </c>
      <c r="P459">
        <v>410</v>
      </c>
      <c r="Q459" t="b">
        <v>0</v>
      </c>
      <c r="R459" t="b">
        <v>1</v>
      </c>
      <c r="S459" t="b">
        <v>1</v>
      </c>
      <c r="T459" t="s">
        <v>7</v>
      </c>
      <c r="U459" t="b">
        <v>0</v>
      </c>
      <c r="V459" t="b">
        <v>0</v>
      </c>
      <c r="W459">
        <v>1436</v>
      </c>
      <c r="X459">
        <v>0</v>
      </c>
      <c r="Y459">
        <v>0</v>
      </c>
      <c r="Z459">
        <v>1</v>
      </c>
      <c r="AA459">
        <v>0.505</v>
      </c>
      <c r="AB459">
        <v>0.61499999999999999</v>
      </c>
      <c r="AC459">
        <v>0.90100000000000002</v>
      </c>
      <c r="AD459">
        <v>6</v>
      </c>
      <c r="AE459">
        <v>2</v>
      </c>
      <c r="AF459">
        <v>2.411</v>
      </c>
      <c r="AG459">
        <v>637.11</v>
      </c>
      <c r="AH459" t="s">
        <v>1582</v>
      </c>
      <c r="AI459" t="s">
        <v>1583</v>
      </c>
      <c r="AJ459" t="s">
        <v>1584</v>
      </c>
      <c r="AK459">
        <v>0</v>
      </c>
      <c r="AL459">
        <v>63478</v>
      </c>
      <c r="AM459">
        <v>0</v>
      </c>
      <c r="AN459">
        <v>0</v>
      </c>
      <c r="AO459">
        <v>0</v>
      </c>
      <c r="AP459">
        <v>0</v>
      </c>
      <c r="AQ459">
        <v>0</v>
      </c>
      <c r="AR459">
        <v>0</v>
      </c>
      <c r="AS459">
        <v>0</v>
      </c>
      <c r="AT459">
        <v>0</v>
      </c>
      <c r="AU459">
        <v>203381</v>
      </c>
      <c r="AV459">
        <v>233874</v>
      </c>
      <c r="AW459">
        <v>226953</v>
      </c>
      <c r="AX459">
        <v>0</v>
      </c>
      <c r="AY459">
        <v>63477.5</v>
      </c>
      <c r="AZ459">
        <v>0</v>
      </c>
      <c r="BA459">
        <v>0</v>
      </c>
      <c r="BB459">
        <v>0</v>
      </c>
      <c r="BC459">
        <v>0</v>
      </c>
      <c r="BD459">
        <v>0</v>
      </c>
      <c r="BE459">
        <v>0</v>
      </c>
      <c r="BF459">
        <v>0</v>
      </c>
      <c r="BG459">
        <v>0</v>
      </c>
      <c r="BH459">
        <v>203380.875</v>
      </c>
      <c r="BI459">
        <v>233873.5625</v>
      </c>
      <c r="BJ459">
        <v>226953.1875</v>
      </c>
      <c r="BK459">
        <v>0</v>
      </c>
      <c r="BL459">
        <v>0</v>
      </c>
      <c r="BM459">
        <v>0</v>
      </c>
      <c r="BN459">
        <v>0</v>
      </c>
      <c r="BO459">
        <v>0</v>
      </c>
      <c r="BP459">
        <v>0</v>
      </c>
      <c r="BQ459">
        <v>0</v>
      </c>
      <c r="BR459">
        <v>0</v>
      </c>
      <c r="BS459">
        <v>0</v>
      </c>
      <c r="BT459">
        <v>0</v>
      </c>
      <c r="BU459">
        <v>0</v>
      </c>
      <c r="BV459">
        <v>0</v>
      </c>
      <c r="BW459">
        <v>0</v>
      </c>
    </row>
    <row r="460" spans="1:75" x14ac:dyDescent="0.55000000000000004">
      <c r="A460">
        <v>1437</v>
      </c>
      <c r="B460">
        <v>13.394</v>
      </c>
      <c r="C460">
        <v>864.57599000000005</v>
      </c>
      <c r="D460" t="s">
        <v>1578</v>
      </c>
      <c r="E460" t="s">
        <v>1</v>
      </c>
      <c r="F460" t="s">
        <v>2</v>
      </c>
      <c r="G460">
        <v>0.23</v>
      </c>
      <c r="H460" t="b">
        <v>1</v>
      </c>
      <c r="I460">
        <v>9.3940000000000001</v>
      </c>
      <c r="J460">
        <v>864.57599000000005</v>
      </c>
      <c r="K460" t="s">
        <v>1579</v>
      </c>
      <c r="L460" t="s">
        <v>660</v>
      </c>
      <c r="N460" t="s">
        <v>1580</v>
      </c>
      <c r="O460" t="s">
        <v>1595</v>
      </c>
      <c r="P460">
        <v>410</v>
      </c>
      <c r="Q460" t="b">
        <v>0</v>
      </c>
      <c r="R460" t="b">
        <v>1</v>
      </c>
      <c r="S460" t="b">
        <v>1</v>
      </c>
      <c r="T460" t="s">
        <v>7</v>
      </c>
      <c r="U460" t="b">
        <v>0</v>
      </c>
      <c r="V460" t="b">
        <v>0</v>
      </c>
      <c r="W460">
        <v>1437</v>
      </c>
      <c r="X460">
        <v>0</v>
      </c>
      <c r="Y460">
        <v>0</v>
      </c>
      <c r="Z460">
        <v>1</v>
      </c>
      <c r="AA460">
        <v>0.46600000000000003</v>
      </c>
      <c r="AB460">
        <v>0.61</v>
      </c>
      <c r="AC460">
        <v>0.86299999999999999</v>
      </c>
      <c r="AD460">
        <v>4</v>
      </c>
      <c r="AE460">
        <v>2</v>
      </c>
      <c r="AF460">
        <v>2.3860000000000001</v>
      </c>
      <c r="AG460">
        <v>342.71</v>
      </c>
      <c r="AH460" t="s">
        <v>1480</v>
      </c>
      <c r="AI460" t="s">
        <v>1585</v>
      </c>
      <c r="AJ460" t="s">
        <v>1586</v>
      </c>
      <c r="AK460">
        <v>0</v>
      </c>
      <c r="AL460">
        <v>38946</v>
      </c>
      <c r="AM460">
        <v>0</v>
      </c>
      <c r="AN460">
        <v>0</v>
      </c>
      <c r="AO460">
        <v>0</v>
      </c>
      <c r="AP460">
        <v>0</v>
      </c>
      <c r="AQ460">
        <v>0</v>
      </c>
      <c r="AR460">
        <v>0</v>
      </c>
      <c r="AS460">
        <v>0</v>
      </c>
      <c r="AT460">
        <v>0</v>
      </c>
      <c r="AU460">
        <v>138805</v>
      </c>
      <c r="AV460">
        <v>164243</v>
      </c>
      <c r="AW460">
        <v>164614</v>
      </c>
      <c r="AX460">
        <v>0</v>
      </c>
      <c r="AY460">
        <v>38945.625</v>
      </c>
      <c r="AZ460">
        <v>0</v>
      </c>
      <c r="BA460">
        <v>0</v>
      </c>
      <c r="BB460">
        <v>0</v>
      </c>
      <c r="BC460">
        <v>0</v>
      </c>
      <c r="BD460">
        <v>0</v>
      </c>
      <c r="BE460">
        <v>0</v>
      </c>
      <c r="BF460">
        <v>0</v>
      </c>
      <c r="BG460">
        <v>0</v>
      </c>
      <c r="BH460">
        <v>138804.75</v>
      </c>
      <c r="BI460">
        <v>164243.375</v>
      </c>
      <c r="BJ460">
        <v>164613.5</v>
      </c>
      <c r="BK460">
        <v>0</v>
      </c>
      <c r="BL460">
        <v>0</v>
      </c>
      <c r="BM460">
        <v>0</v>
      </c>
      <c r="BN460">
        <v>0</v>
      </c>
      <c r="BO460">
        <v>0</v>
      </c>
      <c r="BP460">
        <v>0</v>
      </c>
      <c r="BQ460">
        <v>0</v>
      </c>
      <c r="BR460">
        <v>0</v>
      </c>
      <c r="BS460">
        <v>0</v>
      </c>
      <c r="BT460">
        <v>0</v>
      </c>
      <c r="BU460">
        <v>0</v>
      </c>
      <c r="BV460">
        <v>0</v>
      </c>
      <c r="BW460">
        <v>0</v>
      </c>
    </row>
    <row r="461" spans="1:75" x14ac:dyDescent="0.55000000000000004">
      <c r="A461">
        <v>1440</v>
      </c>
      <c r="B461">
        <v>14.94</v>
      </c>
      <c r="C461">
        <v>864.61206000000004</v>
      </c>
      <c r="D461" t="s">
        <v>1587</v>
      </c>
      <c r="E461" t="s">
        <v>1</v>
      </c>
      <c r="F461" t="s">
        <v>2</v>
      </c>
      <c r="G461">
        <v>0.31</v>
      </c>
      <c r="H461" t="b">
        <v>1</v>
      </c>
      <c r="I461">
        <v>10.337999999999999</v>
      </c>
      <c r="J461">
        <v>864.61243000000002</v>
      </c>
      <c r="K461" t="s">
        <v>1588</v>
      </c>
      <c r="L461" t="s">
        <v>329</v>
      </c>
      <c r="N461" t="s">
        <v>1589</v>
      </c>
      <c r="O461" t="s">
        <v>1600</v>
      </c>
      <c r="P461">
        <v>410</v>
      </c>
      <c r="Q461" t="b">
        <v>0</v>
      </c>
      <c r="R461" t="b">
        <v>1</v>
      </c>
      <c r="S461" t="b">
        <v>1</v>
      </c>
      <c r="T461" t="s">
        <v>7</v>
      </c>
      <c r="U461" t="b">
        <v>0</v>
      </c>
      <c r="V461" t="b">
        <v>0</v>
      </c>
      <c r="W461">
        <v>1440</v>
      </c>
      <c r="X461">
        <v>0</v>
      </c>
      <c r="Y461">
        <v>0</v>
      </c>
      <c r="Z461">
        <v>1</v>
      </c>
      <c r="AA461">
        <v>0.51100000000000001</v>
      </c>
      <c r="AB461">
        <v>0.72199999999999998</v>
      </c>
      <c r="AC461">
        <v>0.89</v>
      </c>
      <c r="AD461">
        <v>4</v>
      </c>
      <c r="AE461">
        <v>2</v>
      </c>
      <c r="AF461">
        <v>2.431</v>
      </c>
      <c r="AG461">
        <v>1139.01</v>
      </c>
      <c r="AH461" t="s">
        <v>1459</v>
      </c>
      <c r="AI461" t="s">
        <v>1591</v>
      </c>
      <c r="AJ461" t="s">
        <v>1592</v>
      </c>
      <c r="AK461">
        <v>0</v>
      </c>
      <c r="AL461">
        <v>100449</v>
      </c>
      <c r="AM461">
        <v>0</v>
      </c>
      <c r="AN461">
        <v>0</v>
      </c>
      <c r="AO461">
        <v>0</v>
      </c>
      <c r="AP461">
        <v>0</v>
      </c>
      <c r="AQ461">
        <v>0</v>
      </c>
      <c r="AR461">
        <v>0</v>
      </c>
      <c r="AS461">
        <v>0</v>
      </c>
      <c r="AT461">
        <v>0</v>
      </c>
      <c r="AU461">
        <v>387073</v>
      </c>
      <c r="AV461">
        <v>432903</v>
      </c>
      <c r="AW461">
        <v>446900</v>
      </c>
      <c r="AX461">
        <v>0</v>
      </c>
      <c r="AY461">
        <v>100449.25</v>
      </c>
      <c r="AZ461">
        <v>0</v>
      </c>
      <c r="BA461">
        <v>0</v>
      </c>
      <c r="BB461">
        <v>0</v>
      </c>
      <c r="BC461">
        <v>0</v>
      </c>
      <c r="BD461">
        <v>0</v>
      </c>
      <c r="BE461">
        <v>0</v>
      </c>
      <c r="BF461">
        <v>0</v>
      </c>
      <c r="BG461">
        <v>0</v>
      </c>
      <c r="BH461">
        <v>387072.5625</v>
      </c>
      <c r="BI461">
        <v>432902.5625</v>
      </c>
      <c r="BJ461">
        <v>446900</v>
      </c>
      <c r="BK461">
        <v>0</v>
      </c>
      <c r="BL461">
        <v>0</v>
      </c>
      <c r="BM461">
        <v>0</v>
      </c>
      <c r="BN461">
        <v>0</v>
      </c>
      <c r="BO461">
        <v>0</v>
      </c>
      <c r="BP461">
        <v>0</v>
      </c>
      <c r="BQ461">
        <v>0</v>
      </c>
      <c r="BR461">
        <v>0</v>
      </c>
      <c r="BS461">
        <v>0</v>
      </c>
      <c r="BT461">
        <v>0</v>
      </c>
      <c r="BU461">
        <v>0</v>
      </c>
      <c r="BV461">
        <v>0</v>
      </c>
      <c r="BW461">
        <v>0</v>
      </c>
    </row>
    <row r="462" spans="1:75" x14ac:dyDescent="0.55000000000000004">
      <c r="A462">
        <v>1441</v>
      </c>
      <c r="B462">
        <v>14.289</v>
      </c>
      <c r="C462">
        <v>864.61206000000004</v>
      </c>
      <c r="D462" t="s">
        <v>1593</v>
      </c>
      <c r="E462" t="s">
        <v>1</v>
      </c>
      <c r="F462" t="s">
        <v>2</v>
      </c>
      <c r="G462">
        <v>0.15</v>
      </c>
      <c r="H462" t="b">
        <v>1</v>
      </c>
      <c r="I462">
        <v>10.087</v>
      </c>
      <c r="J462">
        <v>864.61243000000002</v>
      </c>
      <c r="K462" t="s">
        <v>1588</v>
      </c>
      <c r="L462" t="s">
        <v>329</v>
      </c>
      <c r="N462" t="s">
        <v>1594</v>
      </c>
      <c r="O462" t="s">
        <v>1606</v>
      </c>
      <c r="P462">
        <v>410</v>
      </c>
      <c r="Q462" t="b">
        <v>0</v>
      </c>
      <c r="R462" t="b">
        <v>1</v>
      </c>
      <c r="S462" t="b">
        <v>1</v>
      </c>
      <c r="T462" t="s">
        <v>7</v>
      </c>
      <c r="U462" t="b">
        <v>0</v>
      </c>
      <c r="V462" t="b">
        <v>0</v>
      </c>
      <c r="W462">
        <v>1441</v>
      </c>
      <c r="X462">
        <v>0</v>
      </c>
      <c r="Y462">
        <v>0</v>
      </c>
      <c r="Z462">
        <v>1</v>
      </c>
      <c r="AA462">
        <v>0.61099999999999999</v>
      </c>
      <c r="AB462">
        <v>0.73899999999999999</v>
      </c>
      <c r="AC462">
        <v>0.92900000000000005</v>
      </c>
      <c r="AD462">
        <v>5</v>
      </c>
      <c r="AE462">
        <v>2</v>
      </c>
      <c r="AF462">
        <v>2.4729999999999999</v>
      </c>
      <c r="AG462">
        <v>638.29999999999995</v>
      </c>
      <c r="AH462" t="s">
        <v>1471</v>
      </c>
      <c r="AI462" t="s">
        <v>1596</v>
      </c>
      <c r="AJ462" t="s">
        <v>1597</v>
      </c>
      <c r="AK462">
        <v>0</v>
      </c>
      <c r="AL462">
        <v>73888</v>
      </c>
      <c r="AM462">
        <v>0</v>
      </c>
      <c r="AN462">
        <v>0</v>
      </c>
      <c r="AO462">
        <v>0</v>
      </c>
      <c r="AP462">
        <v>0</v>
      </c>
      <c r="AQ462">
        <v>0</v>
      </c>
      <c r="AR462">
        <v>0</v>
      </c>
      <c r="AS462">
        <v>0</v>
      </c>
      <c r="AT462">
        <v>0</v>
      </c>
      <c r="AU462">
        <v>354536</v>
      </c>
      <c r="AV462">
        <v>417076</v>
      </c>
      <c r="AW462">
        <v>394087</v>
      </c>
      <c r="AX462">
        <v>0</v>
      </c>
      <c r="AY462">
        <v>73888.0625</v>
      </c>
      <c r="AZ462">
        <v>0</v>
      </c>
      <c r="BA462">
        <v>0</v>
      </c>
      <c r="BB462">
        <v>0</v>
      </c>
      <c r="BC462">
        <v>0</v>
      </c>
      <c r="BD462">
        <v>0</v>
      </c>
      <c r="BE462">
        <v>0</v>
      </c>
      <c r="BF462">
        <v>0</v>
      </c>
      <c r="BG462">
        <v>0</v>
      </c>
      <c r="BH462">
        <v>354535.875</v>
      </c>
      <c r="BI462">
        <v>417075.5</v>
      </c>
      <c r="BJ462">
        <v>394086.875</v>
      </c>
      <c r="BK462">
        <v>0</v>
      </c>
      <c r="BL462">
        <v>0</v>
      </c>
      <c r="BM462">
        <v>0</v>
      </c>
      <c r="BN462">
        <v>0</v>
      </c>
      <c r="BO462">
        <v>0</v>
      </c>
      <c r="BP462">
        <v>0</v>
      </c>
      <c r="BQ462">
        <v>0</v>
      </c>
      <c r="BR462">
        <v>0</v>
      </c>
      <c r="BS462">
        <v>0</v>
      </c>
      <c r="BT462">
        <v>0</v>
      </c>
      <c r="BU462">
        <v>0</v>
      </c>
      <c r="BV462">
        <v>0</v>
      </c>
      <c r="BW462">
        <v>0</v>
      </c>
    </row>
    <row r="463" spans="1:75" x14ac:dyDescent="0.55000000000000004">
      <c r="A463">
        <v>1463</v>
      </c>
      <c r="B463">
        <v>13.815</v>
      </c>
      <c r="C463">
        <v>866.59058000000005</v>
      </c>
      <c r="D463" t="s">
        <v>1598</v>
      </c>
      <c r="E463" t="s">
        <v>1</v>
      </c>
      <c r="F463" t="s">
        <v>2</v>
      </c>
      <c r="G463">
        <v>0.23</v>
      </c>
      <c r="H463" t="b">
        <v>1</v>
      </c>
      <c r="I463">
        <v>9.6980000000000004</v>
      </c>
      <c r="J463">
        <v>866.59167000000002</v>
      </c>
      <c r="K463" t="s">
        <v>1154</v>
      </c>
      <c r="L463" t="s">
        <v>660</v>
      </c>
      <c r="N463" t="s">
        <v>1599</v>
      </c>
      <c r="O463" t="s">
        <v>1611</v>
      </c>
      <c r="P463">
        <v>410</v>
      </c>
      <c r="Q463" t="b">
        <v>0</v>
      </c>
      <c r="R463" t="b">
        <v>1</v>
      </c>
      <c r="S463" t="b">
        <v>1</v>
      </c>
      <c r="T463" t="s">
        <v>7</v>
      </c>
      <c r="U463" t="b">
        <v>0</v>
      </c>
      <c r="V463" t="b">
        <v>0</v>
      </c>
      <c r="W463">
        <v>1463</v>
      </c>
      <c r="X463">
        <v>0</v>
      </c>
      <c r="Y463">
        <v>0</v>
      </c>
      <c r="Z463">
        <v>0.98</v>
      </c>
      <c r="AA463">
        <v>0.39200000000000002</v>
      </c>
      <c r="AB463">
        <v>0.53500000000000003</v>
      </c>
      <c r="AC463">
        <v>0.83499999999999996</v>
      </c>
      <c r="AD463">
        <v>4</v>
      </c>
      <c r="AE463">
        <v>2</v>
      </c>
      <c r="AF463">
        <v>2.3340000000000001</v>
      </c>
      <c r="AG463">
        <v>179.59</v>
      </c>
      <c r="AH463" t="s">
        <v>1471</v>
      </c>
      <c r="AI463" t="s">
        <v>1601</v>
      </c>
      <c r="AJ463" t="s">
        <v>1602</v>
      </c>
      <c r="AK463">
        <v>0</v>
      </c>
      <c r="AL463">
        <v>13191</v>
      </c>
      <c r="AM463">
        <v>0</v>
      </c>
      <c r="AN463">
        <v>0</v>
      </c>
      <c r="AO463">
        <v>0</v>
      </c>
      <c r="AP463">
        <v>0</v>
      </c>
      <c r="AQ463">
        <v>0</v>
      </c>
      <c r="AR463">
        <v>0</v>
      </c>
      <c r="AS463">
        <v>0</v>
      </c>
      <c r="AT463">
        <v>0</v>
      </c>
      <c r="AU463">
        <v>69166</v>
      </c>
      <c r="AV463">
        <v>77375</v>
      </c>
      <c r="AW463">
        <v>77765</v>
      </c>
      <c r="AX463">
        <v>0</v>
      </c>
      <c r="AY463">
        <v>13190.75</v>
      </c>
      <c r="AZ463">
        <v>0</v>
      </c>
      <c r="BA463">
        <v>0</v>
      </c>
      <c r="BB463">
        <v>0</v>
      </c>
      <c r="BC463">
        <v>0</v>
      </c>
      <c r="BD463">
        <v>0</v>
      </c>
      <c r="BE463">
        <v>0</v>
      </c>
      <c r="BF463">
        <v>0</v>
      </c>
      <c r="BG463">
        <v>0</v>
      </c>
      <c r="BH463">
        <v>69166.1875</v>
      </c>
      <c r="BI463">
        <v>77374.875</v>
      </c>
      <c r="BJ463">
        <v>77765.1875</v>
      </c>
      <c r="BK463">
        <v>0</v>
      </c>
      <c r="BL463">
        <v>0</v>
      </c>
      <c r="BM463">
        <v>0</v>
      </c>
      <c r="BN463">
        <v>0</v>
      </c>
      <c r="BO463">
        <v>0</v>
      </c>
      <c r="BP463">
        <v>0</v>
      </c>
      <c r="BQ463">
        <v>0</v>
      </c>
      <c r="BR463">
        <v>0</v>
      </c>
      <c r="BS463">
        <v>0</v>
      </c>
      <c r="BT463">
        <v>0</v>
      </c>
      <c r="BU463">
        <v>0</v>
      </c>
      <c r="BV463">
        <v>0</v>
      </c>
      <c r="BW463">
        <v>0</v>
      </c>
    </row>
    <row r="464" spans="1:75" x14ac:dyDescent="0.55000000000000004">
      <c r="A464">
        <v>1466</v>
      </c>
      <c r="B464">
        <v>15.256</v>
      </c>
      <c r="C464">
        <v>866.62676999999996</v>
      </c>
      <c r="D464" t="s">
        <v>1603</v>
      </c>
      <c r="E464" t="s">
        <v>1</v>
      </c>
      <c r="F464" t="s">
        <v>2</v>
      </c>
      <c r="G464">
        <v>0.31</v>
      </c>
      <c r="H464" t="b">
        <v>1</v>
      </c>
      <c r="I464">
        <v>11.145</v>
      </c>
      <c r="J464">
        <v>866.62798999999995</v>
      </c>
      <c r="K464" t="s">
        <v>1604</v>
      </c>
      <c r="L464" t="s">
        <v>329</v>
      </c>
      <c r="N464" t="s">
        <v>1605</v>
      </c>
      <c r="O464" t="s">
        <v>1616</v>
      </c>
      <c r="P464">
        <v>410</v>
      </c>
      <c r="Q464" t="b">
        <v>0</v>
      </c>
      <c r="R464" t="b">
        <v>1</v>
      </c>
      <c r="S464" t="b">
        <v>1</v>
      </c>
      <c r="T464" t="s">
        <v>7</v>
      </c>
      <c r="U464" t="b">
        <v>0</v>
      </c>
      <c r="V464" t="b">
        <v>0</v>
      </c>
      <c r="W464">
        <v>1466</v>
      </c>
      <c r="X464">
        <v>0</v>
      </c>
      <c r="Y464">
        <v>0</v>
      </c>
      <c r="Z464">
        <v>1</v>
      </c>
      <c r="AA464">
        <v>0.57999999999999996</v>
      </c>
      <c r="AB464">
        <v>0.71</v>
      </c>
      <c r="AC464">
        <v>0.95799999999999996</v>
      </c>
      <c r="AD464">
        <v>5</v>
      </c>
      <c r="AE464">
        <v>2</v>
      </c>
      <c r="AF464">
        <v>2.4700000000000002</v>
      </c>
      <c r="AG464">
        <v>2064.91</v>
      </c>
      <c r="AH464" t="s">
        <v>1480</v>
      </c>
      <c r="AI464" t="s">
        <v>1607</v>
      </c>
      <c r="AJ464" t="s">
        <v>1608</v>
      </c>
      <c r="AK464">
        <v>0</v>
      </c>
      <c r="AL464">
        <v>132137</v>
      </c>
      <c r="AM464">
        <v>0</v>
      </c>
      <c r="AN464">
        <v>0</v>
      </c>
      <c r="AO464">
        <v>0</v>
      </c>
      <c r="AP464">
        <v>0</v>
      </c>
      <c r="AQ464">
        <v>0</v>
      </c>
      <c r="AR464">
        <v>0</v>
      </c>
      <c r="AS464">
        <v>0</v>
      </c>
      <c r="AT464">
        <v>0</v>
      </c>
      <c r="AU464">
        <v>771822</v>
      </c>
      <c r="AV464">
        <v>875772</v>
      </c>
      <c r="AW464">
        <v>897596</v>
      </c>
      <c r="AX464">
        <v>0</v>
      </c>
      <c r="AY464">
        <v>132137.1875</v>
      </c>
      <c r="AZ464">
        <v>0</v>
      </c>
      <c r="BA464">
        <v>0</v>
      </c>
      <c r="BB464">
        <v>0</v>
      </c>
      <c r="BC464">
        <v>0</v>
      </c>
      <c r="BD464">
        <v>0</v>
      </c>
      <c r="BE464">
        <v>0</v>
      </c>
      <c r="BF464">
        <v>0</v>
      </c>
      <c r="BG464">
        <v>0</v>
      </c>
      <c r="BH464">
        <v>771821.875</v>
      </c>
      <c r="BI464">
        <v>875771.8125</v>
      </c>
      <c r="BJ464">
        <v>897596.3125</v>
      </c>
      <c r="BK464">
        <v>0</v>
      </c>
      <c r="BL464">
        <v>0</v>
      </c>
      <c r="BM464">
        <v>0</v>
      </c>
      <c r="BN464">
        <v>0</v>
      </c>
      <c r="BO464">
        <v>0</v>
      </c>
      <c r="BP464">
        <v>0</v>
      </c>
      <c r="BQ464">
        <v>0</v>
      </c>
      <c r="BR464">
        <v>0</v>
      </c>
      <c r="BS464">
        <v>0</v>
      </c>
      <c r="BT464">
        <v>0</v>
      </c>
      <c r="BU464">
        <v>0</v>
      </c>
      <c r="BV464">
        <v>0</v>
      </c>
      <c r="BW464">
        <v>0</v>
      </c>
    </row>
    <row r="465" spans="1:75" x14ac:dyDescent="0.55000000000000004">
      <c r="A465">
        <v>1468</v>
      </c>
      <c r="B465">
        <v>16.09</v>
      </c>
      <c r="C465">
        <v>866.62823000000003</v>
      </c>
      <c r="D465" t="s">
        <v>1609</v>
      </c>
      <c r="E465" t="s">
        <v>1</v>
      </c>
      <c r="F465" t="s">
        <v>2</v>
      </c>
      <c r="G465">
        <v>0.23</v>
      </c>
      <c r="H465" t="b">
        <v>1</v>
      </c>
      <c r="I465">
        <v>10.843</v>
      </c>
      <c r="J465">
        <v>866.62798999999995</v>
      </c>
      <c r="K465" t="s">
        <v>1604</v>
      </c>
      <c r="L465" t="s">
        <v>329</v>
      </c>
      <c r="N465" t="s">
        <v>1610</v>
      </c>
      <c r="O465" t="s">
        <v>1622</v>
      </c>
      <c r="P465">
        <v>410</v>
      </c>
      <c r="Q465" t="b">
        <v>0</v>
      </c>
      <c r="R465" t="b">
        <v>1</v>
      </c>
      <c r="S465" t="b">
        <v>1</v>
      </c>
      <c r="T465" t="s">
        <v>7</v>
      </c>
      <c r="U465" t="b">
        <v>0</v>
      </c>
      <c r="V465" t="b">
        <v>0</v>
      </c>
      <c r="W465">
        <v>1468</v>
      </c>
      <c r="X465">
        <v>0</v>
      </c>
      <c r="Y465">
        <v>0</v>
      </c>
      <c r="Z465">
        <v>1</v>
      </c>
      <c r="AA465">
        <v>0.52600000000000002</v>
      </c>
      <c r="AB465">
        <v>0.67600000000000005</v>
      </c>
      <c r="AC465">
        <v>0.86099999999999999</v>
      </c>
      <c r="AD465">
        <v>4</v>
      </c>
      <c r="AE465">
        <v>2</v>
      </c>
      <c r="AF465">
        <v>2.411</v>
      </c>
      <c r="AG465">
        <v>360.23</v>
      </c>
      <c r="AH465" t="s">
        <v>1480</v>
      </c>
      <c r="AI465" t="s">
        <v>1612</v>
      </c>
      <c r="AJ465" t="s">
        <v>1613</v>
      </c>
      <c r="AK465">
        <v>0</v>
      </c>
      <c r="AL465">
        <v>16232</v>
      </c>
      <c r="AM465">
        <v>0</v>
      </c>
      <c r="AN465">
        <v>0</v>
      </c>
      <c r="AO465">
        <v>0</v>
      </c>
      <c r="AP465">
        <v>0</v>
      </c>
      <c r="AQ465">
        <v>0</v>
      </c>
      <c r="AR465">
        <v>0</v>
      </c>
      <c r="AS465">
        <v>0</v>
      </c>
      <c r="AT465">
        <v>0</v>
      </c>
      <c r="AU465">
        <v>101397</v>
      </c>
      <c r="AV465">
        <v>115471</v>
      </c>
      <c r="AW465">
        <v>121072</v>
      </c>
      <c r="AX465">
        <v>0</v>
      </c>
      <c r="AY465">
        <v>16231.5625</v>
      </c>
      <c r="AZ465">
        <v>0</v>
      </c>
      <c r="BA465">
        <v>0</v>
      </c>
      <c r="BB465">
        <v>0</v>
      </c>
      <c r="BC465">
        <v>0</v>
      </c>
      <c r="BD465">
        <v>0</v>
      </c>
      <c r="BE465">
        <v>0</v>
      </c>
      <c r="BF465">
        <v>0</v>
      </c>
      <c r="BG465">
        <v>0</v>
      </c>
      <c r="BH465">
        <v>101396.5625</v>
      </c>
      <c r="BI465">
        <v>115471.25</v>
      </c>
      <c r="BJ465">
        <v>121071.625</v>
      </c>
      <c r="BK465">
        <v>0</v>
      </c>
      <c r="BL465">
        <v>0</v>
      </c>
      <c r="BM465">
        <v>0</v>
      </c>
      <c r="BN465">
        <v>0</v>
      </c>
      <c r="BO465">
        <v>0</v>
      </c>
      <c r="BP465">
        <v>0</v>
      </c>
      <c r="BQ465">
        <v>0</v>
      </c>
      <c r="BR465">
        <v>0</v>
      </c>
      <c r="BS465">
        <v>0</v>
      </c>
      <c r="BT465">
        <v>0</v>
      </c>
      <c r="BU465">
        <v>0</v>
      </c>
      <c r="BV465">
        <v>0</v>
      </c>
      <c r="BW465">
        <v>0</v>
      </c>
    </row>
    <row r="466" spans="1:75" x14ac:dyDescent="0.55000000000000004">
      <c r="A466">
        <v>1487</v>
      </c>
      <c r="B466">
        <v>15.188000000000001</v>
      </c>
      <c r="C466">
        <v>868.60522000000003</v>
      </c>
      <c r="D466" t="s">
        <v>1614</v>
      </c>
      <c r="E466" t="s">
        <v>1</v>
      </c>
      <c r="F466" t="s">
        <v>2</v>
      </c>
      <c r="G466">
        <v>0.31</v>
      </c>
      <c r="H466" t="b">
        <v>1</v>
      </c>
      <c r="I466">
        <v>10.432</v>
      </c>
      <c r="J466">
        <v>868.60730000000001</v>
      </c>
      <c r="K466" t="s">
        <v>1168</v>
      </c>
      <c r="L466" t="s">
        <v>660</v>
      </c>
      <c r="N466" t="s">
        <v>1615</v>
      </c>
      <c r="O466" t="s">
        <v>1627</v>
      </c>
      <c r="P466">
        <v>410</v>
      </c>
      <c r="Q466" t="b">
        <v>0</v>
      </c>
      <c r="R466" t="b">
        <v>1</v>
      </c>
      <c r="S466" t="b">
        <v>1</v>
      </c>
      <c r="T466" t="s">
        <v>7</v>
      </c>
      <c r="U466" t="b">
        <v>0</v>
      </c>
      <c r="V466" t="b">
        <v>0</v>
      </c>
      <c r="W466">
        <v>1487</v>
      </c>
      <c r="X466">
        <v>0</v>
      </c>
      <c r="Y466">
        <v>0</v>
      </c>
      <c r="Z466">
        <v>0.96</v>
      </c>
      <c r="AA466">
        <v>0.66</v>
      </c>
      <c r="AB466">
        <v>0.73</v>
      </c>
      <c r="AC466">
        <v>0.87</v>
      </c>
      <c r="AD466">
        <v>7</v>
      </c>
      <c r="AE466">
        <v>2</v>
      </c>
      <c r="AF466">
        <v>2.4369999999999998</v>
      </c>
      <c r="AG466">
        <v>485.91</v>
      </c>
      <c r="AH466" t="s">
        <v>1480</v>
      </c>
      <c r="AI466" t="s">
        <v>1617</v>
      </c>
      <c r="AJ466" t="s">
        <v>1618</v>
      </c>
      <c r="AK466">
        <v>0</v>
      </c>
      <c r="AL466">
        <v>51197</v>
      </c>
      <c r="AM466">
        <v>0</v>
      </c>
      <c r="AN466">
        <v>0</v>
      </c>
      <c r="AO466">
        <v>0</v>
      </c>
      <c r="AP466">
        <v>0</v>
      </c>
      <c r="AQ466">
        <v>0</v>
      </c>
      <c r="AR466">
        <v>0</v>
      </c>
      <c r="AS466">
        <v>0</v>
      </c>
      <c r="AT466">
        <v>0</v>
      </c>
      <c r="AU466">
        <v>227431</v>
      </c>
      <c r="AV466">
        <v>264312</v>
      </c>
      <c r="AW466">
        <v>265163</v>
      </c>
      <c r="AX466">
        <v>0</v>
      </c>
      <c r="AY466">
        <v>51196.9375</v>
      </c>
      <c r="AZ466">
        <v>0</v>
      </c>
      <c r="BA466">
        <v>0</v>
      </c>
      <c r="BB466">
        <v>0</v>
      </c>
      <c r="BC466">
        <v>0</v>
      </c>
      <c r="BD466">
        <v>0</v>
      </c>
      <c r="BE466">
        <v>0</v>
      </c>
      <c r="BF466">
        <v>0</v>
      </c>
      <c r="BG466">
        <v>0</v>
      </c>
      <c r="BH466">
        <v>227431.25</v>
      </c>
      <c r="BI466">
        <v>264312.375</v>
      </c>
      <c r="BJ466">
        <v>265163</v>
      </c>
      <c r="BK466">
        <v>0</v>
      </c>
      <c r="BL466">
        <v>0</v>
      </c>
      <c r="BM466">
        <v>0</v>
      </c>
      <c r="BN466">
        <v>0</v>
      </c>
      <c r="BO466">
        <v>0</v>
      </c>
      <c r="BP466">
        <v>0</v>
      </c>
      <c r="BQ466">
        <v>0</v>
      </c>
      <c r="BR466">
        <v>0</v>
      </c>
      <c r="BS466">
        <v>0</v>
      </c>
      <c r="BT466">
        <v>0</v>
      </c>
      <c r="BU466">
        <v>0</v>
      </c>
      <c r="BV466">
        <v>0</v>
      </c>
      <c r="BW466">
        <v>0</v>
      </c>
    </row>
    <row r="467" spans="1:75" x14ac:dyDescent="0.55000000000000004">
      <c r="A467">
        <v>1488</v>
      </c>
      <c r="B467">
        <v>16.254999999999999</v>
      </c>
      <c r="C467">
        <v>868.64349000000004</v>
      </c>
      <c r="D467" t="s">
        <v>1619</v>
      </c>
      <c r="E467" t="s">
        <v>1</v>
      </c>
      <c r="F467" t="s">
        <v>2</v>
      </c>
      <c r="G467">
        <v>0.31</v>
      </c>
      <c r="H467" t="b">
        <v>1</v>
      </c>
      <c r="I467">
        <v>12.298</v>
      </c>
      <c r="J467">
        <v>868.64368000000002</v>
      </c>
      <c r="K467" t="s">
        <v>1620</v>
      </c>
      <c r="L467" t="s">
        <v>329</v>
      </c>
      <c r="N467" t="s">
        <v>1621</v>
      </c>
      <c r="O467" t="s">
        <v>1632</v>
      </c>
      <c r="P467">
        <v>410</v>
      </c>
      <c r="Q467" t="b">
        <v>0</v>
      </c>
      <c r="R467" t="b">
        <v>1</v>
      </c>
      <c r="S467" t="b">
        <v>1</v>
      </c>
      <c r="T467" t="s">
        <v>7</v>
      </c>
      <c r="U467" t="b">
        <v>0</v>
      </c>
      <c r="V467" t="b">
        <v>0</v>
      </c>
      <c r="W467">
        <v>1488</v>
      </c>
      <c r="X467">
        <v>0</v>
      </c>
      <c r="Y467">
        <v>0</v>
      </c>
      <c r="Z467">
        <v>0.99</v>
      </c>
      <c r="AA467">
        <v>0.49</v>
      </c>
      <c r="AB467">
        <v>0.67800000000000005</v>
      </c>
      <c r="AC467">
        <v>0.83699999999999997</v>
      </c>
      <c r="AD467">
        <v>3</v>
      </c>
      <c r="AE467">
        <v>2</v>
      </c>
      <c r="AF467">
        <v>2.3879999999999999</v>
      </c>
      <c r="AG467">
        <v>1404.19</v>
      </c>
      <c r="AH467" t="s">
        <v>1459</v>
      </c>
      <c r="AI467" t="s">
        <v>1623</v>
      </c>
      <c r="AJ467" t="s">
        <v>1624</v>
      </c>
      <c r="AK467">
        <v>0</v>
      </c>
      <c r="AL467">
        <v>108030</v>
      </c>
      <c r="AM467">
        <v>0</v>
      </c>
      <c r="AN467">
        <v>0</v>
      </c>
      <c r="AO467">
        <v>0</v>
      </c>
      <c r="AP467">
        <v>0</v>
      </c>
      <c r="AQ467">
        <v>0</v>
      </c>
      <c r="AR467">
        <v>0</v>
      </c>
      <c r="AS467">
        <v>0</v>
      </c>
      <c r="AT467">
        <v>0</v>
      </c>
      <c r="AU467">
        <v>678474</v>
      </c>
      <c r="AV467">
        <v>775721</v>
      </c>
      <c r="AW467">
        <v>788745</v>
      </c>
      <c r="AX467">
        <v>0</v>
      </c>
      <c r="AY467">
        <v>108030.0625</v>
      </c>
      <c r="AZ467">
        <v>0</v>
      </c>
      <c r="BA467">
        <v>0</v>
      </c>
      <c r="BB467">
        <v>0</v>
      </c>
      <c r="BC467">
        <v>0</v>
      </c>
      <c r="BD467">
        <v>0</v>
      </c>
      <c r="BE467">
        <v>0</v>
      </c>
      <c r="BF467">
        <v>0</v>
      </c>
      <c r="BG467">
        <v>0</v>
      </c>
      <c r="BH467">
        <v>678474.0625</v>
      </c>
      <c r="BI467">
        <v>775721.0625</v>
      </c>
      <c r="BJ467">
        <v>788745.125</v>
      </c>
      <c r="BK467">
        <v>0</v>
      </c>
      <c r="BL467">
        <v>0</v>
      </c>
      <c r="BM467">
        <v>0</v>
      </c>
      <c r="BN467">
        <v>0</v>
      </c>
      <c r="BO467">
        <v>0</v>
      </c>
      <c r="BP467">
        <v>0</v>
      </c>
      <c r="BQ467">
        <v>0</v>
      </c>
      <c r="BR467">
        <v>0</v>
      </c>
      <c r="BS467">
        <v>0</v>
      </c>
      <c r="BT467">
        <v>0</v>
      </c>
      <c r="BU467">
        <v>0</v>
      </c>
      <c r="BV467">
        <v>0</v>
      </c>
      <c r="BW467">
        <v>0</v>
      </c>
    </row>
    <row r="468" spans="1:75" x14ac:dyDescent="0.55000000000000004">
      <c r="A468">
        <v>1489</v>
      </c>
      <c r="B468">
        <v>15.996</v>
      </c>
      <c r="C468">
        <v>868.64373999999998</v>
      </c>
      <c r="D468" t="s">
        <v>1625</v>
      </c>
      <c r="E468" t="s">
        <v>1</v>
      </c>
      <c r="F468" t="s">
        <v>2</v>
      </c>
      <c r="G468">
        <v>0.31</v>
      </c>
      <c r="H468" t="b">
        <v>1</v>
      </c>
      <c r="I468">
        <v>11.747</v>
      </c>
      <c r="J468">
        <v>868.64368000000002</v>
      </c>
      <c r="K468" t="s">
        <v>1620</v>
      </c>
      <c r="L468" t="s">
        <v>329</v>
      </c>
      <c r="N468" t="s">
        <v>1626</v>
      </c>
      <c r="O468" t="s">
        <v>1638</v>
      </c>
      <c r="P468">
        <v>410</v>
      </c>
      <c r="Q468" t="b">
        <v>0</v>
      </c>
      <c r="R468" t="b">
        <v>1</v>
      </c>
      <c r="S468" t="b">
        <v>1</v>
      </c>
      <c r="T468" t="s">
        <v>7</v>
      </c>
      <c r="U468" t="b">
        <v>0</v>
      </c>
      <c r="V468" t="b">
        <v>0</v>
      </c>
      <c r="W468">
        <v>1489</v>
      </c>
      <c r="X468">
        <v>0</v>
      </c>
      <c r="Y468">
        <v>0</v>
      </c>
      <c r="Z468">
        <v>1</v>
      </c>
      <c r="AA468">
        <v>0.53600000000000003</v>
      </c>
      <c r="AB468">
        <v>0.72</v>
      </c>
      <c r="AC468">
        <v>0.86</v>
      </c>
      <c r="AD468">
        <v>4</v>
      </c>
      <c r="AE468">
        <v>2</v>
      </c>
      <c r="AF468">
        <v>2.4239999999999999</v>
      </c>
      <c r="AG468">
        <v>402.3</v>
      </c>
      <c r="AH468" t="s">
        <v>1582</v>
      </c>
      <c r="AI468" t="s">
        <v>1628</v>
      </c>
      <c r="AJ468" t="s">
        <v>1629</v>
      </c>
      <c r="AK468">
        <v>0</v>
      </c>
      <c r="AL468">
        <v>39077</v>
      </c>
      <c r="AM468">
        <v>0</v>
      </c>
      <c r="AN468">
        <v>0</v>
      </c>
      <c r="AO468">
        <v>0</v>
      </c>
      <c r="AP468">
        <v>0</v>
      </c>
      <c r="AQ468">
        <v>0</v>
      </c>
      <c r="AR468">
        <v>0</v>
      </c>
      <c r="AS468">
        <v>0</v>
      </c>
      <c r="AT468">
        <v>0</v>
      </c>
      <c r="AU468">
        <v>239169</v>
      </c>
      <c r="AV468">
        <v>269527</v>
      </c>
      <c r="AW468">
        <v>283162</v>
      </c>
      <c r="AX468">
        <v>0</v>
      </c>
      <c r="AY468">
        <v>39077.25</v>
      </c>
      <c r="AZ468">
        <v>0</v>
      </c>
      <c r="BA468">
        <v>0</v>
      </c>
      <c r="BB468">
        <v>0</v>
      </c>
      <c r="BC468">
        <v>0</v>
      </c>
      <c r="BD468">
        <v>0</v>
      </c>
      <c r="BE468">
        <v>0</v>
      </c>
      <c r="BF468">
        <v>0</v>
      </c>
      <c r="BG468">
        <v>0</v>
      </c>
      <c r="BH468">
        <v>239169.25</v>
      </c>
      <c r="BI468">
        <v>269527.125</v>
      </c>
      <c r="BJ468">
        <v>283161.75</v>
      </c>
      <c r="BK468">
        <v>0</v>
      </c>
      <c r="BL468">
        <v>0</v>
      </c>
      <c r="BM468">
        <v>0</v>
      </c>
      <c r="BN468">
        <v>0</v>
      </c>
      <c r="BO468">
        <v>0</v>
      </c>
      <c r="BP468">
        <v>0</v>
      </c>
      <c r="BQ468">
        <v>0</v>
      </c>
      <c r="BR468">
        <v>0</v>
      </c>
      <c r="BS468">
        <v>0</v>
      </c>
      <c r="BT468">
        <v>0</v>
      </c>
      <c r="BU468">
        <v>0</v>
      </c>
      <c r="BV468">
        <v>0</v>
      </c>
      <c r="BW468">
        <v>0</v>
      </c>
    </row>
    <row r="469" spans="1:75" x14ac:dyDescent="0.55000000000000004">
      <c r="A469">
        <v>1490</v>
      </c>
      <c r="B469">
        <v>15.523</v>
      </c>
      <c r="C469">
        <v>868.64373999999998</v>
      </c>
      <c r="D469" t="s">
        <v>1630</v>
      </c>
      <c r="E469" t="s">
        <v>1</v>
      </c>
      <c r="F469" t="s">
        <v>2</v>
      </c>
      <c r="G469">
        <v>0.15</v>
      </c>
      <c r="H469" t="b">
        <v>1</v>
      </c>
      <c r="I469">
        <v>11.086</v>
      </c>
      <c r="J469">
        <v>868.64368000000002</v>
      </c>
      <c r="K469" t="s">
        <v>1620</v>
      </c>
      <c r="L469" t="s">
        <v>329</v>
      </c>
      <c r="N469" t="s">
        <v>1631</v>
      </c>
      <c r="O469" t="s">
        <v>1197</v>
      </c>
      <c r="P469">
        <v>410</v>
      </c>
      <c r="Q469" t="b">
        <v>0</v>
      </c>
      <c r="R469" t="b">
        <v>1</v>
      </c>
      <c r="S469" t="b">
        <v>1</v>
      </c>
      <c r="T469" t="s">
        <v>7</v>
      </c>
      <c r="U469" t="b">
        <v>0</v>
      </c>
      <c r="V469" t="b">
        <v>0</v>
      </c>
      <c r="W469">
        <v>1490</v>
      </c>
      <c r="X469">
        <v>0</v>
      </c>
      <c r="Y469">
        <v>0</v>
      </c>
      <c r="Z469">
        <v>1</v>
      </c>
      <c r="AA469">
        <v>0.59699999999999998</v>
      </c>
      <c r="AB469">
        <v>0.71099999999999997</v>
      </c>
      <c r="AC469">
        <v>0.84799999999999998</v>
      </c>
      <c r="AD469">
        <v>4</v>
      </c>
      <c r="AE469">
        <v>2</v>
      </c>
      <c r="AF469">
        <v>2.4289999999999998</v>
      </c>
      <c r="AG469">
        <v>211.52</v>
      </c>
      <c r="AH469" t="s">
        <v>1471</v>
      </c>
      <c r="AI469" t="s">
        <v>1633</v>
      </c>
      <c r="AJ469" t="s">
        <v>1634</v>
      </c>
      <c r="AK469">
        <v>0</v>
      </c>
      <c r="AL469">
        <v>16049</v>
      </c>
      <c r="AM469">
        <v>0</v>
      </c>
      <c r="AN469">
        <v>0</v>
      </c>
      <c r="AO469">
        <v>0</v>
      </c>
      <c r="AP469">
        <v>0</v>
      </c>
      <c r="AQ469">
        <v>0</v>
      </c>
      <c r="AR469">
        <v>0</v>
      </c>
      <c r="AS469">
        <v>0</v>
      </c>
      <c r="AT469">
        <v>0</v>
      </c>
      <c r="AU469">
        <v>95594</v>
      </c>
      <c r="AV469">
        <v>109704</v>
      </c>
      <c r="AW469">
        <v>111818</v>
      </c>
      <c r="AX469">
        <v>0</v>
      </c>
      <c r="AY469">
        <v>16049.4375</v>
      </c>
      <c r="AZ469">
        <v>0</v>
      </c>
      <c r="BA469">
        <v>0</v>
      </c>
      <c r="BB469">
        <v>0</v>
      </c>
      <c r="BC469">
        <v>0</v>
      </c>
      <c r="BD469">
        <v>0</v>
      </c>
      <c r="BE469">
        <v>0</v>
      </c>
      <c r="BF469">
        <v>0</v>
      </c>
      <c r="BG469">
        <v>0</v>
      </c>
      <c r="BH469">
        <v>95593.875</v>
      </c>
      <c r="BI469">
        <v>109703.9375</v>
      </c>
      <c r="BJ469">
        <v>111817.625</v>
      </c>
      <c r="BK469">
        <v>0</v>
      </c>
      <c r="BL469">
        <v>0</v>
      </c>
      <c r="BM469">
        <v>0</v>
      </c>
      <c r="BN469">
        <v>0</v>
      </c>
      <c r="BO469">
        <v>0</v>
      </c>
      <c r="BP469">
        <v>0</v>
      </c>
      <c r="BQ469">
        <v>0</v>
      </c>
      <c r="BR469">
        <v>0</v>
      </c>
      <c r="BS469">
        <v>0</v>
      </c>
      <c r="BT469">
        <v>0</v>
      </c>
      <c r="BU469">
        <v>0</v>
      </c>
      <c r="BV469">
        <v>0</v>
      </c>
      <c r="BW469">
        <v>0</v>
      </c>
    </row>
    <row r="470" spans="1:75" x14ac:dyDescent="0.55000000000000004">
      <c r="A470">
        <v>1516</v>
      </c>
      <c r="B470">
        <v>16.363</v>
      </c>
      <c r="C470">
        <v>870.65790000000004</v>
      </c>
      <c r="D470" t="s">
        <v>1635</v>
      </c>
      <c r="E470" t="s">
        <v>1</v>
      </c>
      <c r="F470" t="s">
        <v>2</v>
      </c>
      <c r="G470">
        <v>0.31</v>
      </c>
      <c r="H470" t="b">
        <v>1</v>
      </c>
      <c r="I470">
        <v>12.356999999999999</v>
      </c>
      <c r="J470">
        <v>870.65930000000003</v>
      </c>
      <c r="K470" t="s">
        <v>1636</v>
      </c>
      <c r="L470" t="s">
        <v>329</v>
      </c>
      <c r="N470" t="s">
        <v>1637</v>
      </c>
      <c r="O470" t="s">
        <v>1646</v>
      </c>
      <c r="P470">
        <v>410</v>
      </c>
      <c r="Q470" t="b">
        <v>0</v>
      </c>
      <c r="R470" t="b">
        <v>1</v>
      </c>
      <c r="S470" t="b">
        <v>1</v>
      </c>
      <c r="T470" t="s">
        <v>7</v>
      </c>
      <c r="U470" t="b">
        <v>0</v>
      </c>
      <c r="V470" t="b">
        <v>0</v>
      </c>
      <c r="W470">
        <v>1516</v>
      </c>
      <c r="X470">
        <v>0</v>
      </c>
      <c r="Y470">
        <v>0</v>
      </c>
      <c r="Z470">
        <v>0.99</v>
      </c>
      <c r="AA470">
        <v>0.65300000000000002</v>
      </c>
      <c r="AB470">
        <v>0.753</v>
      </c>
      <c r="AC470">
        <v>0.91800000000000004</v>
      </c>
      <c r="AD470">
        <v>5</v>
      </c>
      <c r="AE470">
        <v>2</v>
      </c>
      <c r="AF470">
        <v>2.4750000000000001</v>
      </c>
      <c r="AG470">
        <v>449.42</v>
      </c>
      <c r="AH470" t="s">
        <v>1480</v>
      </c>
      <c r="AI470" t="s">
        <v>1639</v>
      </c>
      <c r="AJ470" t="s">
        <v>1640</v>
      </c>
      <c r="AK470">
        <v>0</v>
      </c>
      <c r="AL470">
        <v>26049</v>
      </c>
      <c r="AM470">
        <v>0</v>
      </c>
      <c r="AN470">
        <v>0</v>
      </c>
      <c r="AO470">
        <v>0</v>
      </c>
      <c r="AP470">
        <v>0</v>
      </c>
      <c r="AQ470">
        <v>0</v>
      </c>
      <c r="AR470">
        <v>0</v>
      </c>
      <c r="AS470">
        <v>0</v>
      </c>
      <c r="AT470">
        <v>0</v>
      </c>
      <c r="AU470">
        <v>164936</v>
      </c>
      <c r="AV470">
        <v>190132</v>
      </c>
      <c r="AW470">
        <v>200961</v>
      </c>
      <c r="AX470">
        <v>0</v>
      </c>
      <c r="AY470">
        <v>26048.625</v>
      </c>
      <c r="AZ470">
        <v>0</v>
      </c>
      <c r="BA470">
        <v>0</v>
      </c>
      <c r="BB470">
        <v>0</v>
      </c>
      <c r="BC470">
        <v>0</v>
      </c>
      <c r="BD470">
        <v>0</v>
      </c>
      <c r="BE470">
        <v>0</v>
      </c>
      <c r="BF470">
        <v>0</v>
      </c>
      <c r="BG470">
        <v>0</v>
      </c>
      <c r="BH470">
        <v>164935.6875</v>
      </c>
      <c r="BI470">
        <v>190131.8125</v>
      </c>
      <c r="BJ470">
        <v>200961.25</v>
      </c>
      <c r="BK470">
        <v>0</v>
      </c>
      <c r="BL470">
        <v>0</v>
      </c>
      <c r="BM470">
        <v>0</v>
      </c>
      <c r="BN470">
        <v>0</v>
      </c>
      <c r="BO470">
        <v>0</v>
      </c>
      <c r="BP470">
        <v>0</v>
      </c>
      <c r="BQ470">
        <v>0</v>
      </c>
      <c r="BR470">
        <v>0</v>
      </c>
      <c r="BS470">
        <v>0</v>
      </c>
      <c r="BT470">
        <v>0</v>
      </c>
      <c r="BU470">
        <v>0</v>
      </c>
      <c r="BV470">
        <v>0</v>
      </c>
      <c r="BW470">
        <v>0</v>
      </c>
    </row>
    <row r="471" spans="1:75" x14ac:dyDescent="0.55000000000000004">
      <c r="A471">
        <v>1517</v>
      </c>
      <c r="B471">
        <v>16.622</v>
      </c>
      <c r="C471">
        <v>870.66405999999995</v>
      </c>
      <c r="D471" t="s">
        <v>1194</v>
      </c>
      <c r="E471" t="s">
        <v>1</v>
      </c>
      <c r="F471" t="s">
        <v>2</v>
      </c>
      <c r="G471">
        <v>0.31</v>
      </c>
      <c r="H471" t="b">
        <v>1</v>
      </c>
      <c r="I471">
        <v>11.840999999999999</v>
      </c>
      <c r="J471">
        <v>870.66759999999999</v>
      </c>
      <c r="K471" t="s">
        <v>1195</v>
      </c>
      <c r="L471" t="s">
        <v>1097</v>
      </c>
      <c r="N471" t="s">
        <v>1196</v>
      </c>
      <c r="O471" t="s">
        <v>1652</v>
      </c>
      <c r="P471">
        <v>410</v>
      </c>
      <c r="Q471" t="b">
        <v>0</v>
      </c>
      <c r="R471" t="b">
        <v>1</v>
      </c>
      <c r="S471" t="b">
        <v>1</v>
      </c>
      <c r="T471" t="s">
        <v>7</v>
      </c>
      <c r="U471" t="b">
        <v>0</v>
      </c>
      <c r="V471" t="b">
        <v>0</v>
      </c>
      <c r="W471">
        <v>1517</v>
      </c>
      <c r="X471">
        <v>0</v>
      </c>
      <c r="Y471">
        <v>0</v>
      </c>
      <c r="Z471">
        <v>0.93</v>
      </c>
      <c r="AA471">
        <v>0.4</v>
      </c>
      <c r="AB471">
        <v>0.59199999999999997</v>
      </c>
      <c r="AC471">
        <v>0.88500000000000001</v>
      </c>
      <c r="AD471">
        <v>5</v>
      </c>
      <c r="AE471">
        <v>2</v>
      </c>
      <c r="AF471">
        <v>2.343</v>
      </c>
      <c r="AG471">
        <v>796.6</v>
      </c>
      <c r="AH471" t="s">
        <v>1480</v>
      </c>
      <c r="AI471" t="s">
        <v>1641</v>
      </c>
      <c r="AJ471" t="s">
        <v>1642</v>
      </c>
      <c r="AK471">
        <v>0</v>
      </c>
      <c r="AL471">
        <v>69776</v>
      </c>
      <c r="AM471">
        <v>0</v>
      </c>
      <c r="AN471">
        <v>0</v>
      </c>
      <c r="AO471">
        <v>0</v>
      </c>
      <c r="AP471">
        <v>0</v>
      </c>
      <c r="AQ471">
        <v>0</v>
      </c>
      <c r="AR471">
        <v>0</v>
      </c>
      <c r="AS471">
        <v>0</v>
      </c>
      <c r="AT471">
        <v>0</v>
      </c>
      <c r="AU471">
        <v>296534</v>
      </c>
      <c r="AV471">
        <v>347325</v>
      </c>
      <c r="AW471">
        <v>360458</v>
      </c>
      <c r="AX471">
        <v>0</v>
      </c>
      <c r="AY471">
        <v>69775.625</v>
      </c>
      <c r="AZ471">
        <v>0</v>
      </c>
      <c r="BA471">
        <v>0</v>
      </c>
      <c r="BB471">
        <v>0</v>
      </c>
      <c r="BC471">
        <v>0</v>
      </c>
      <c r="BD471">
        <v>0</v>
      </c>
      <c r="BE471">
        <v>0</v>
      </c>
      <c r="BF471">
        <v>0</v>
      </c>
      <c r="BG471">
        <v>0</v>
      </c>
      <c r="BH471">
        <v>296534.3125</v>
      </c>
      <c r="BI471">
        <v>347325.4375</v>
      </c>
      <c r="BJ471">
        <v>360458.0625</v>
      </c>
      <c r="BK471">
        <v>0</v>
      </c>
      <c r="BL471">
        <v>0</v>
      </c>
      <c r="BM471">
        <v>0</v>
      </c>
      <c r="BN471">
        <v>0</v>
      </c>
      <c r="BO471">
        <v>0</v>
      </c>
      <c r="BP471">
        <v>0</v>
      </c>
      <c r="BQ471">
        <v>0</v>
      </c>
      <c r="BR471">
        <v>0</v>
      </c>
      <c r="BS471">
        <v>0</v>
      </c>
      <c r="BT471">
        <v>0</v>
      </c>
      <c r="BU471">
        <v>0</v>
      </c>
      <c r="BV471">
        <v>0</v>
      </c>
      <c r="BW471">
        <v>0</v>
      </c>
    </row>
    <row r="472" spans="1:75" x14ac:dyDescent="0.55000000000000004">
      <c r="A472">
        <v>1527</v>
      </c>
      <c r="B472">
        <v>16.864999999999998</v>
      </c>
      <c r="C472">
        <v>871.69048999999995</v>
      </c>
      <c r="D472" t="s">
        <v>1643</v>
      </c>
      <c r="E472" t="s">
        <v>1</v>
      </c>
      <c r="F472" t="s">
        <v>2</v>
      </c>
      <c r="G472">
        <v>0.31</v>
      </c>
      <c r="H472" t="b">
        <v>1</v>
      </c>
      <c r="I472">
        <v>12.73</v>
      </c>
      <c r="J472">
        <v>871.69097999999997</v>
      </c>
      <c r="K472" t="s">
        <v>1644</v>
      </c>
      <c r="L472" t="s">
        <v>181</v>
      </c>
      <c r="N472" t="s">
        <v>1645</v>
      </c>
      <c r="O472" t="s">
        <v>1658</v>
      </c>
      <c r="P472">
        <v>410</v>
      </c>
      <c r="Q472" t="b">
        <v>0</v>
      </c>
      <c r="R472" t="b">
        <v>1</v>
      </c>
      <c r="S472" t="b">
        <v>1</v>
      </c>
      <c r="T472" t="s">
        <v>7</v>
      </c>
      <c r="U472" t="b">
        <v>0</v>
      </c>
      <c r="V472" t="b">
        <v>0</v>
      </c>
      <c r="W472">
        <v>1527</v>
      </c>
      <c r="X472">
        <v>0</v>
      </c>
      <c r="Y472">
        <v>0</v>
      </c>
      <c r="Z472">
        <v>1</v>
      </c>
      <c r="AA472">
        <v>0.80100000000000005</v>
      </c>
      <c r="AB472">
        <v>0.91700000000000004</v>
      </c>
      <c r="AC472">
        <v>0.95599999999999996</v>
      </c>
      <c r="AD472">
        <v>5</v>
      </c>
      <c r="AE472">
        <v>2</v>
      </c>
      <c r="AF472">
        <v>2.5619999999999998</v>
      </c>
      <c r="AG472">
        <v>4034.05</v>
      </c>
      <c r="AH472" t="s">
        <v>1480</v>
      </c>
      <c r="AI472" t="s">
        <v>1647</v>
      </c>
      <c r="AJ472" t="s">
        <v>1648</v>
      </c>
      <c r="AK472">
        <v>0</v>
      </c>
      <c r="AL472">
        <v>244437</v>
      </c>
      <c r="AM472">
        <v>0</v>
      </c>
      <c r="AN472">
        <v>0</v>
      </c>
      <c r="AO472">
        <v>0</v>
      </c>
      <c r="AP472">
        <v>0</v>
      </c>
      <c r="AQ472">
        <v>0</v>
      </c>
      <c r="AR472">
        <v>0</v>
      </c>
      <c r="AS472">
        <v>0</v>
      </c>
      <c r="AT472">
        <v>0</v>
      </c>
      <c r="AU472">
        <v>1586241</v>
      </c>
      <c r="AV472">
        <v>1798218</v>
      </c>
      <c r="AW472">
        <v>1828405</v>
      </c>
      <c r="AX472">
        <v>0</v>
      </c>
      <c r="AY472">
        <v>244437.375</v>
      </c>
      <c r="AZ472">
        <v>0</v>
      </c>
      <c r="BA472">
        <v>0</v>
      </c>
      <c r="BB472">
        <v>0</v>
      </c>
      <c r="BC472">
        <v>0</v>
      </c>
      <c r="BD472">
        <v>0</v>
      </c>
      <c r="BE472">
        <v>0</v>
      </c>
      <c r="BF472">
        <v>0</v>
      </c>
      <c r="BG472">
        <v>0</v>
      </c>
      <c r="BH472">
        <v>1586241.3125</v>
      </c>
      <c r="BI472">
        <v>1798218.1875</v>
      </c>
      <c r="BJ472">
        <v>1828404.625</v>
      </c>
      <c r="BK472">
        <v>0</v>
      </c>
      <c r="BL472">
        <v>0</v>
      </c>
      <c r="BM472">
        <v>0</v>
      </c>
      <c r="BN472">
        <v>0</v>
      </c>
      <c r="BO472">
        <v>0</v>
      </c>
      <c r="BP472">
        <v>0</v>
      </c>
      <c r="BQ472">
        <v>0</v>
      </c>
      <c r="BR472">
        <v>0</v>
      </c>
      <c r="BS472">
        <v>0</v>
      </c>
      <c r="BT472">
        <v>0</v>
      </c>
      <c r="BU472">
        <v>0</v>
      </c>
      <c r="BV472">
        <v>0</v>
      </c>
      <c r="BW472">
        <v>0</v>
      </c>
    </row>
    <row r="473" spans="1:75" x14ac:dyDescent="0.55000000000000004">
      <c r="A473">
        <v>1536</v>
      </c>
      <c r="B473">
        <v>17.492000000000001</v>
      </c>
      <c r="C473">
        <v>872.68060000000003</v>
      </c>
      <c r="D473" t="s">
        <v>1649</v>
      </c>
      <c r="E473" t="s">
        <v>1</v>
      </c>
      <c r="F473" t="s">
        <v>2</v>
      </c>
      <c r="G473">
        <v>0.31</v>
      </c>
      <c r="H473" t="b">
        <v>1</v>
      </c>
      <c r="I473">
        <v>13.006</v>
      </c>
      <c r="J473">
        <v>872.68322999999998</v>
      </c>
      <c r="K473" t="s">
        <v>1650</v>
      </c>
      <c r="L473" t="s">
        <v>1097</v>
      </c>
      <c r="N473" t="s">
        <v>1651</v>
      </c>
      <c r="O473" t="s">
        <v>1665</v>
      </c>
      <c r="P473">
        <v>410</v>
      </c>
      <c r="Q473" t="b">
        <v>0</v>
      </c>
      <c r="R473" t="b">
        <v>1</v>
      </c>
      <c r="S473" t="b">
        <v>1</v>
      </c>
      <c r="T473" t="s">
        <v>7</v>
      </c>
      <c r="U473" t="b">
        <v>0</v>
      </c>
      <c r="V473" t="b">
        <v>0</v>
      </c>
      <c r="W473">
        <v>1536</v>
      </c>
      <c r="X473">
        <v>0</v>
      </c>
      <c r="Y473">
        <v>0</v>
      </c>
      <c r="Z473">
        <v>0.97</v>
      </c>
      <c r="AA473">
        <v>0.48099999999999998</v>
      </c>
      <c r="AB473">
        <v>0.73</v>
      </c>
      <c r="AC473">
        <v>0.89</v>
      </c>
      <c r="AD473">
        <v>5</v>
      </c>
      <c r="AE473">
        <v>2</v>
      </c>
      <c r="AF473">
        <v>2.4089999999999998</v>
      </c>
      <c r="AG473">
        <v>928.99</v>
      </c>
      <c r="AH473" t="s">
        <v>1480</v>
      </c>
      <c r="AI473" t="s">
        <v>1653</v>
      </c>
      <c r="AJ473" t="s">
        <v>1654</v>
      </c>
      <c r="AK473">
        <v>0</v>
      </c>
      <c r="AL473">
        <v>91714</v>
      </c>
      <c r="AM473">
        <v>0</v>
      </c>
      <c r="AN473">
        <v>0</v>
      </c>
      <c r="AO473">
        <v>0</v>
      </c>
      <c r="AP473">
        <v>0</v>
      </c>
      <c r="AQ473">
        <v>0</v>
      </c>
      <c r="AR473">
        <v>0</v>
      </c>
      <c r="AS473">
        <v>0</v>
      </c>
      <c r="AT473">
        <v>0</v>
      </c>
      <c r="AU473">
        <v>407791</v>
      </c>
      <c r="AV473">
        <v>466422</v>
      </c>
      <c r="AW473">
        <v>478816</v>
      </c>
      <c r="AX473">
        <v>0</v>
      </c>
      <c r="AY473">
        <v>91714.375</v>
      </c>
      <c r="AZ473">
        <v>0</v>
      </c>
      <c r="BA473">
        <v>0</v>
      </c>
      <c r="BB473">
        <v>0</v>
      </c>
      <c r="BC473">
        <v>0</v>
      </c>
      <c r="BD473">
        <v>0</v>
      </c>
      <c r="BE473">
        <v>0</v>
      </c>
      <c r="BF473">
        <v>0</v>
      </c>
      <c r="BG473">
        <v>0</v>
      </c>
      <c r="BH473">
        <v>407790.875</v>
      </c>
      <c r="BI473">
        <v>466421.8125</v>
      </c>
      <c r="BJ473">
        <v>478816</v>
      </c>
      <c r="BK473">
        <v>0</v>
      </c>
      <c r="BL473">
        <v>0</v>
      </c>
      <c r="BM473">
        <v>0</v>
      </c>
      <c r="BN473">
        <v>0</v>
      </c>
      <c r="BO473">
        <v>0</v>
      </c>
      <c r="BP473">
        <v>0</v>
      </c>
      <c r="BQ473">
        <v>0</v>
      </c>
      <c r="BR473">
        <v>0</v>
      </c>
      <c r="BS473">
        <v>0</v>
      </c>
      <c r="BT473">
        <v>0</v>
      </c>
      <c r="BU473">
        <v>0</v>
      </c>
      <c r="BV473">
        <v>0</v>
      </c>
      <c r="BW473">
        <v>0</v>
      </c>
    </row>
    <row r="474" spans="1:75" x14ac:dyDescent="0.55000000000000004">
      <c r="A474">
        <v>1558</v>
      </c>
      <c r="B474">
        <v>11.819000000000001</v>
      </c>
      <c r="C474">
        <v>874.56042000000002</v>
      </c>
      <c r="D474" t="s">
        <v>1655</v>
      </c>
      <c r="E474" t="s">
        <v>1</v>
      </c>
      <c r="F474" t="s">
        <v>2</v>
      </c>
      <c r="G474">
        <v>0.31</v>
      </c>
      <c r="H474" t="b">
        <v>1</v>
      </c>
      <c r="I474">
        <v>8.7189999999999994</v>
      </c>
      <c r="J474">
        <v>874.56042000000002</v>
      </c>
      <c r="K474" t="s">
        <v>1656</v>
      </c>
      <c r="L474" t="s">
        <v>660</v>
      </c>
      <c r="N474" t="s">
        <v>1657</v>
      </c>
      <c r="O474" t="s">
        <v>1671</v>
      </c>
      <c r="P474">
        <v>410</v>
      </c>
      <c r="Q474" t="b">
        <v>0</v>
      </c>
      <c r="R474" t="b">
        <v>1</v>
      </c>
      <c r="S474" t="b">
        <v>1</v>
      </c>
      <c r="T474" t="s">
        <v>7</v>
      </c>
      <c r="U474" t="b">
        <v>0</v>
      </c>
      <c r="V474" t="b">
        <v>0</v>
      </c>
      <c r="W474">
        <v>1558</v>
      </c>
      <c r="X474">
        <v>0</v>
      </c>
      <c r="Y474">
        <v>0</v>
      </c>
      <c r="Z474">
        <v>1</v>
      </c>
      <c r="AA474">
        <v>0.50700000000000001</v>
      </c>
      <c r="AB474">
        <v>0.626</v>
      </c>
      <c r="AC474">
        <v>0.81299999999999994</v>
      </c>
      <c r="AD474">
        <v>3</v>
      </c>
      <c r="AE474">
        <v>2</v>
      </c>
      <c r="AF474">
        <v>2.3769999999999998</v>
      </c>
      <c r="AG474">
        <v>599.64</v>
      </c>
      <c r="AH474" t="s">
        <v>1480</v>
      </c>
      <c r="AI474" t="s">
        <v>1659</v>
      </c>
      <c r="AJ474" t="s">
        <v>1660</v>
      </c>
      <c r="AK474">
        <v>0</v>
      </c>
      <c r="AL474">
        <v>40681</v>
      </c>
      <c r="AM474">
        <v>0</v>
      </c>
      <c r="AN474">
        <v>0</v>
      </c>
      <c r="AO474">
        <v>0</v>
      </c>
      <c r="AP474">
        <v>0</v>
      </c>
      <c r="AQ474">
        <v>0</v>
      </c>
      <c r="AR474">
        <v>0</v>
      </c>
      <c r="AS474">
        <v>0</v>
      </c>
      <c r="AT474">
        <v>0</v>
      </c>
      <c r="AU474">
        <v>283835</v>
      </c>
      <c r="AV474">
        <v>327792</v>
      </c>
      <c r="AW474">
        <v>331180</v>
      </c>
      <c r="AX474">
        <v>0</v>
      </c>
      <c r="AY474">
        <v>40681.3125</v>
      </c>
      <c r="AZ474">
        <v>0</v>
      </c>
      <c r="BA474">
        <v>0</v>
      </c>
      <c r="BB474">
        <v>0</v>
      </c>
      <c r="BC474">
        <v>0</v>
      </c>
      <c r="BD474">
        <v>0</v>
      </c>
      <c r="BE474">
        <v>0</v>
      </c>
      <c r="BF474">
        <v>0</v>
      </c>
      <c r="BG474">
        <v>0</v>
      </c>
      <c r="BH474">
        <v>283835.25</v>
      </c>
      <c r="BI474">
        <v>327791.6875</v>
      </c>
      <c r="BJ474">
        <v>331179.6875</v>
      </c>
      <c r="BK474">
        <v>0</v>
      </c>
      <c r="BL474">
        <v>0</v>
      </c>
      <c r="BM474">
        <v>0</v>
      </c>
      <c r="BN474">
        <v>0</v>
      </c>
      <c r="BO474">
        <v>0</v>
      </c>
      <c r="BP474">
        <v>0</v>
      </c>
      <c r="BQ474">
        <v>0</v>
      </c>
      <c r="BR474">
        <v>0</v>
      </c>
      <c r="BS474">
        <v>0</v>
      </c>
      <c r="BT474">
        <v>0</v>
      </c>
      <c r="BU474">
        <v>0</v>
      </c>
      <c r="BV474">
        <v>0</v>
      </c>
      <c r="BW474">
        <v>0</v>
      </c>
    </row>
    <row r="475" spans="1:75" x14ac:dyDescent="0.55000000000000004">
      <c r="A475">
        <v>1562</v>
      </c>
      <c r="B475">
        <v>17.277999999999999</v>
      </c>
      <c r="C475">
        <v>874.70061999999996</v>
      </c>
      <c r="D475" t="s">
        <v>1661</v>
      </c>
      <c r="E475" t="s">
        <v>1</v>
      </c>
      <c r="F475" t="s">
        <v>2</v>
      </c>
      <c r="G475">
        <v>0.31</v>
      </c>
      <c r="H475" t="b">
        <v>1</v>
      </c>
      <c r="I475">
        <v>12.897</v>
      </c>
      <c r="J475">
        <v>874.69890999999996</v>
      </c>
      <c r="K475" t="s">
        <v>1662</v>
      </c>
      <c r="L475" t="s">
        <v>1663</v>
      </c>
      <c r="N475" t="s">
        <v>1664</v>
      </c>
      <c r="O475" t="s">
        <v>1676</v>
      </c>
      <c r="P475">
        <v>410</v>
      </c>
      <c r="Q475" t="b">
        <v>0</v>
      </c>
      <c r="R475" t="b">
        <v>1</v>
      </c>
      <c r="S475" t="b">
        <v>1</v>
      </c>
      <c r="T475" t="s">
        <v>7</v>
      </c>
      <c r="U475" t="b">
        <v>0</v>
      </c>
      <c r="V475" t="b">
        <v>0</v>
      </c>
      <c r="W475">
        <v>1562</v>
      </c>
      <c r="X475">
        <v>0</v>
      </c>
      <c r="Y475">
        <v>0</v>
      </c>
      <c r="Z475">
        <v>0.99</v>
      </c>
      <c r="AA475">
        <v>0.41</v>
      </c>
      <c r="AB475">
        <v>0.64800000000000002</v>
      </c>
      <c r="AC475">
        <v>0.86699999999999999</v>
      </c>
      <c r="AD475">
        <v>4</v>
      </c>
      <c r="AE475">
        <v>2</v>
      </c>
      <c r="AF475">
        <v>2.3769999999999998</v>
      </c>
      <c r="AG475">
        <v>436</v>
      </c>
      <c r="AH475" t="s">
        <v>1480</v>
      </c>
      <c r="AI475" t="s">
        <v>1666</v>
      </c>
      <c r="AJ475" t="s">
        <v>1667</v>
      </c>
      <c r="AK475">
        <v>0</v>
      </c>
      <c r="AL475">
        <v>26740</v>
      </c>
      <c r="AM475">
        <v>0</v>
      </c>
      <c r="AN475">
        <v>0</v>
      </c>
      <c r="AO475">
        <v>0</v>
      </c>
      <c r="AP475">
        <v>0</v>
      </c>
      <c r="AQ475">
        <v>0</v>
      </c>
      <c r="AR475">
        <v>0</v>
      </c>
      <c r="AS475">
        <v>0</v>
      </c>
      <c r="AT475">
        <v>0</v>
      </c>
      <c r="AU475">
        <v>160481</v>
      </c>
      <c r="AV475">
        <v>196822</v>
      </c>
      <c r="AW475">
        <v>193084</v>
      </c>
      <c r="AX475">
        <v>0</v>
      </c>
      <c r="AY475">
        <v>26739.625</v>
      </c>
      <c r="AZ475">
        <v>0</v>
      </c>
      <c r="BA475">
        <v>0</v>
      </c>
      <c r="BB475">
        <v>0</v>
      </c>
      <c r="BC475">
        <v>0</v>
      </c>
      <c r="BD475">
        <v>0</v>
      </c>
      <c r="BE475">
        <v>0</v>
      </c>
      <c r="BF475">
        <v>0</v>
      </c>
      <c r="BG475">
        <v>0</v>
      </c>
      <c r="BH475">
        <v>160481.3125</v>
      </c>
      <c r="BI475">
        <v>196821.9375</v>
      </c>
      <c r="BJ475">
        <v>193084.5</v>
      </c>
      <c r="BK475">
        <v>0</v>
      </c>
      <c r="BL475">
        <v>0</v>
      </c>
      <c r="BM475">
        <v>0</v>
      </c>
      <c r="BN475">
        <v>0</v>
      </c>
      <c r="BO475">
        <v>0</v>
      </c>
      <c r="BP475">
        <v>0</v>
      </c>
      <c r="BQ475">
        <v>0</v>
      </c>
      <c r="BR475">
        <v>0</v>
      </c>
      <c r="BS475">
        <v>0</v>
      </c>
      <c r="BT475">
        <v>0</v>
      </c>
      <c r="BU475">
        <v>0</v>
      </c>
      <c r="BV475">
        <v>0</v>
      </c>
      <c r="BW475">
        <v>0</v>
      </c>
    </row>
    <row r="476" spans="1:75" x14ac:dyDescent="0.55000000000000004">
      <c r="A476">
        <v>1570</v>
      </c>
      <c r="B476">
        <v>13.003</v>
      </c>
      <c r="C476">
        <v>876.57446000000004</v>
      </c>
      <c r="D476" t="s">
        <v>1668</v>
      </c>
      <c r="E476" t="s">
        <v>1</v>
      </c>
      <c r="F476" t="s">
        <v>2</v>
      </c>
      <c r="G476">
        <v>0.31</v>
      </c>
      <c r="H476" t="b">
        <v>1</v>
      </c>
      <c r="I476">
        <v>9.1029999999999998</v>
      </c>
      <c r="J476">
        <v>876.57599000000005</v>
      </c>
      <c r="K476" t="s">
        <v>1669</v>
      </c>
      <c r="L476" t="s">
        <v>660</v>
      </c>
      <c r="N476" t="s">
        <v>1670</v>
      </c>
      <c r="O476" t="s">
        <v>1683</v>
      </c>
      <c r="P476">
        <v>410</v>
      </c>
      <c r="Q476" t="b">
        <v>0</v>
      </c>
      <c r="R476" t="b">
        <v>1</v>
      </c>
      <c r="S476" t="b">
        <v>1</v>
      </c>
      <c r="T476" t="s">
        <v>7</v>
      </c>
      <c r="U476" t="b">
        <v>0</v>
      </c>
      <c r="V476" t="b">
        <v>0</v>
      </c>
      <c r="W476">
        <v>1570</v>
      </c>
      <c r="X476">
        <v>0</v>
      </c>
      <c r="Y476">
        <v>0</v>
      </c>
      <c r="Z476">
        <v>1</v>
      </c>
      <c r="AA476">
        <v>0.54800000000000004</v>
      </c>
      <c r="AB476">
        <v>0.69299999999999995</v>
      </c>
      <c r="AC476">
        <v>0.86299999999999999</v>
      </c>
      <c r="AD476">
        <v>5</v>
      </c>
      <c r="AE476">
        <v>2</v>
      </c>
      <c r="AF476">
        <v>2.4209999999999998</v>
      </c>
      <c r="AG476">
        <v>3656.69</v>
      </c>
      <c r="AH476" t="s">
        <v>1459</v>
      </c>
      <c r="AI476" t="s">
        <v>1672</v>
      </c>
      <c r="AJ476" t="s">
        <v>1673</v>
      </c>
      <c r="AK476">
        <v>0</v>
      </c>
      <c r="AL476">
        <v>271623</v>
      </c>
      <c r="AM476">
        <v>0</v>
      </c>
      <c r="AN476">
        <v>0</v>
      </c>
      <c r="AO476">
        <v>0</v>
      </c>
      <c r="AP476">
        <v>0</v>
      </c>
      <c r="AQ476">
        <v>0</v>
      </c>
      <c r="AR476">
        <v>0</v>
      </c>
      <c r="AS476">
        <v>0</v>
      </c>
      <c r="AT476">
        <v>0</v>
      </c>
      <c r="AU476">
        <v>1326437</v>
      </c>
      <c r="AV476">
        <v>1492199</v>
      </c>
      <c r="AW476">
        <v>1545260</v>
      </c>
      <c r="AX476">
        <v>0</v>
      </c>
      <c r="AY476">
        <v>271623.1875</v>
      </c>
      <c r="AZ476">
        <v>0</v>
      </c>
      <c r="BA476">
        <v>0</v>
      </c>
      <c r="BB476">
        <v>0</v>
      </c>
      <c r="BC476">
        <v>0</v>
      </c>
      <c r="BD476">
        <v>0</v>
      </c>
      <c r="BE476">
        <v>0</v>
      </c>
      <c r="BF476">
        <v>0</v>
      </c>
      <c r="BG476">
        <v>0</v>
      </c>
      <c r="BH476">
        <v>1326436.8125</v>
      </c>
      <c r="BI476">
        <v>1492199.125</v>
      </c>
      <c r="BJ476">
        <v>1545259.8125</v>
      </c>
      <c r="BK476">
        <v>0</v>
      </c>
      <c r="BL476">
        <v>0</v>
      </c>
      <c r="BM476">
        <v>0</v>
      </c>
      <c r="BN476">
        <v>0</v>
      </c>
      <c r="BO476">
        <v>0</v>
      </c>
      <c r="BP476">
        <v>0</v>
      </c>
      <c r="BQ476">
        <v>0</v>
      </c>
      <c r="BR476">
        <v>0</v>
      </c>
      <c r="BS476">
        <v>0</v>
      </c>
      <c r="BT476">
        <v>0</v>
      </c>
      <c r="BU476">
        <v>0</v>
      </c>
      <c r="BV476">
        <v>0</v>
      </c>
      <c r="BW476">
        <v>0</v>
      </c>
    </row>
    <row r="477" spans="1:75" x14ac:dyDescent="0.55000000000000004">
      <c r="A477">
        <v>1571</v>
      </c>
      <c r="B477">
        <v>12.292</v>
      </c>
      <c r="C477">
        <v>876.57476999999994</v>
      </c>
      <c r="D477" t="s">
        <v>1674</v>
      </c>
      <c r="E477" t="s">
        <v>1</v>
      </c>
      <c r="F477" t="s">
        <v>2</v>
      </c>
      <c r="G477">
        <v>0.15</v>
      </c>
      <c r="H477" t="b">
        <v>1</v>
      </c>
      <c r="I477">
        <v>8.8520000000000003</v>
      </c>
      <c r="J477">
        <v>876.57599000000005</v>
      </c>
      <c r="K477" t="s">
        <v>1669</v>
      </c>
      <c r="L477" t="s">
        <v>660</v>
      </c>
      <c r="N477" t="s">
        <v>1675</v>
      </c>
      <c r="O477" t="s">
        <v>1689</v>
      </c>
      <c r="P477">
        <v>410</v>
      </c>
      <c r="Q477" t="b">
        <v>0</v>
      </c>
      <c r="R477" t="b">
        <v>1</v>
      </c>
      <c r="S477" t="b">
        <v>1</v>
      </c>
      <c r="T477" t="s">
        <v>7</v>
      </c>
      <c r="U477" t="b">
        <v>0</v>
      </c>
      <c r="V477" t="b">
        <v>0</v>
      </c>
      <c r="W477">
        <v>1571</v>
      </c>
      <c r="X477">
        <v>0</v>
      </c>
      <c r="Y477">
        <v>0</v>
      </c>
      <c r="Z477">
        <v>1</v>
      </c>
      <c r="AA477">
        <v>0.45600000000000002</v>
      </c>
      <c r="AB477">
        <v>0.59</v>
      </c>
      <c r="AC477">
        <v>0.83299999999999996</v>
      </c>
      <c r="AD477">
        <v>4</v>
      </c>
      <c r="AE477">
        <v>2</v>
      </c>
      <c r="AF477">
        <v>2.3650000000000002</v>
      </c>
      <c r="AG477">
        <v>278.31</v>
      </c>
      <c r="AH477" t="s">
        <v>1480</v>
      </c>
      <c r="AI477" t="s">
        <v>1677</v>
      </c>
      <c r="AJ477" t="s">
        <v>1678</v>
      </c>
      <c r="AK477">
        <v>0</v>
      </c>
      <c r="AL477">
        <v>12471</v>
      </c>
      <c r="AM477">
        <v>0</v>
      </c>
      <c r="AN477">
        <v>0</v>
      </c>
      <c r="AO477">
        <v>0</v>
      </c>
      <c r="AP477">
        <v>0</v>
      </c>
      <c r="AQ477">
        <v>0</v>
      </c>
      <c r="AR477">
        <v>0</v>
      </c>
      <c r="AS477">
        <v>0</v>
      </c>
      <c r="AT477">
        <v>0</v>
      </c>
      <c r="AU477">
        <v>83278</v>
      </c>
      <c r="AV477">
        <v>98316</v>
      </c>
      <c r="AW477">
        <v>99254</v>
      </c>
      <c r="AX477">
        <v>0</v>
      </c>
      <c r="AY477">
        <v>12470.8125</v>
      </c>
      <c r="AZ477">
        <v>0</v>
      </c>
      <c r="BA477">
        <v>0</v>
      </c>
      <c r="BB477">
        <v>0</v>
      </c>
      <c r="BC477">
        <v>0</v>
      </c>
      <c r="BD477">
        <v>0</v>
      </c>
      <c r="BE477">
        <v>0</v>
      </c>
      <c r="BF477">
        <v>0</v>
      </c>
      <c r="BG477">
        <v>0</v>
      </c>
      <c r="BH477">
        <v>83278.4375</v>
      </c>
      <c r="BI477">
        <v>98315.8125</v>
      </c>
      <c r="BJ477">
        <v>99254.25</v>
      </c>
      <c r="BK477">
        <v>0</v>
      </c>
      <c r="BL477">
        <v>0</v>
      </c>
      <c r="BM477">
        <v>0</v>
      </c>
      <c r="BN477">
        <v>0</v>
      </c>
      <c r="BO477">
        <v>0</v>
      </c>
      <c r="BP477">
        <v>0</v>
      </c>
      <c r="BQ477">
        <v>0</v>
      </c>
      <c r="BR477">
        <v>0</v>
      </c>
      <c r="BS477">
        <v>0</v>
      </c>
      <c r="BT477">
        <v>0</v>
      </c>
      <c r="BU477">
        <v>0</v>
      </c>
      <c r="BV477">
        <v>0</v>
      </c>
      <c r="BW477">
        <v>0</v>
      </c>
    </row>
    <row r="478" spans="1:75" x14ac:dyDescent="0.55000000000000004">
      <c r="A478">
        <v>1588</v>
      </c>
      <c r="B478">
        <v>11.667</v>
      </c>
      <c r="C478">
        <v>878.58563000000004</v>
      </c>
      <c r="D478" t="s">
        <v>1679</v>
      </c>
      <c r="E478" t="s">
        <v>1</v>
      </c>
      <c r="F478" t="s">
        <v>2</v>
      </c>
      <c r="G478">
        <v>0.15</v>
      </c>
      <c r="H478" t="b">
        <v>1</v>
      </c>
      <c r="I478">
        <v>8.42</v>
      </c>
      <c r="J478">
        <v>878.58459000000005</v>
      </c>
      <c r="K478" t="s">
        <v>1680</v>
      </c>
      <c r="L478" t="s">
        <v>1681</v>
      </c>
      <c r="N478" t="s">
        <v>1682</v>
      </c>
      <c r="O478" t="s">
        <v>1694</v>
      </c>
      <c r="P478">
        <v>410</v>
      </c>
      <c r="Q478" t="b">
        <v>0</v>
      </c>
      <c r="R478" t="b">
        <v>1</v>
      </c>
      <c r="S478" t="b">
        <v>1</v>
      </c>
      <c r="T478" t="s">
        <v>7</v>
      </c>
      <c r="U478" t="b">
        <v>0</v>
      </c>
      <c r="V478" t="b">
        <v>0</v>
      </c>
      <c r="W478">
        <v>1588</v>
      </c>
      <c r="X478">
        <v>0</v>
      </c>
      <c r="Y478">
        <v>0</v>
      </c>
      <c r="Z478">
        <v>1</v>
      </c>
      <c r="AA478">
        <v>0.33900000000000002</v>
      </c>
      <c r="AB478">
        <v>0.48699999999999999</v>
      </c>
      <c r="AC478">
        <v>0.92500000000000004</v>
      </c>
      <c r="AD478">
        <v>5</v>
      </c>
      <c r="AE478">
        <v>2</v>
      </c>
      <c r="AF478">
        <v>2.3580000000000001</v>
      </c>
      <c r="AG478">
        <v>217.07</v>
      </c>
      <c r="AH478" t="s">
        <v>1480</v>
      </c>
      <c r="AI478" t="s">
        <v>1684</v>
      </c>
      <c r="AJ478" t="s">
        <v>1685</v>
      </c>
      <c r="AK478">
        <v>0</v>
      </c>
      <c r="AL478">
        <v>14391</v>
      </c>
      <c r="AM478">
        <v>0</v>
      </c>
      <c r="AN478">
        <v>0</v>
      </c>
      <c r="AO478">
        <v>0</v>
      </c>
      <c r="AP478">
        <v>0</v>
      </c>
      <c r="AQ478">
        <v>0</v>
      </c>
      <c r="AR478">
        <v>0</v>
      </c>
      <c r="AS478">
        <v>0</v>
      </c>
      <c r="AT478">
        <v>0</v>
      </c>
      <c r="AU478">
        <v>85099</v>
      </c>
      <c r="AV478">
        <v>99358</v>
      </c>
      <c r="AW478">
        <v>15542</v>
      </c>
      <c r="AX478">
        <v>0</v>
      </c>
      <c r="AY478">
        <v>14390.5625</v>
      </c>
      <c r="AZ478">
        <v>0</v>
      </c>
      <c r="BA478">
        <v>0</v>
      </c>
      <c r="BB478">
        <v>0</v>
      </c>
      <c r="BC478">
        <v>0</v>
      </c>
      <c r="BD478">
        <v>0</v>
      </c>
      <c r="BE478">
        <v>0</v>
      </c>
      <c r="BF478">
        <v>0</v>
      </c>
      <c r="BG478">
        <v>0</v>
      </c>
      <c r="BH478">
        <v>85099.375</v>
      </c>
      <c r="BI478">
        <v>99358.375</v>
      </c>
      <c r="BJ478">
        <v>15542.3125</v>
      </c>
      <c r="BK478">
        <v>0</v>
      </c>
      <c r="BL478">
        <v>0</v>
      </c>
      <c r="BM478">
        <v>0</v>
      </c>
      <c r="BN478">
        <v>0</v>
      </c>
      <c r="BO478">
        <v>0</v>
      </c>
      <c r="BP478">
        <v>0</v>
      </c>
      <c r="BQ478">
        <v>0</v>
      </c>
      <c r="BR478">
        <v>0</v>
      </c>
      <c r="BS478">
        <v>0</v>
      </c>
      <c r="BT478">
        <v>0</v>
      </c>
      <c r="BU478">
        <v>0</v>
      </c>
      <c r="BV478">
        <v>0</v>
      </c>
      <c r="BW478">
        <v>0</v>
      </c>
    </row>
    <row r="479" spans="1:75" x14ac:dyDescent="0.55000000000000004">
      <c r="A479">
        <v>1591</v>
      </c>
      <c r="B479">
        <v>13.565</v>
      </c>
      <c r="C479">
        <v>878.58983999999998</v>
      </c>
      <c r="D479" t="s">
        <v>1686</v>
      </c>
      <c r="E479" t="s">
        <v>1</v>
      </c>
      <c r="F479" t="s">
        <v>2</v>
      </c>
      <c r="G479">
        <v>0.23</v>
      </c>
      <c r="H479" t="b">
        <v>1</v>
      </c>
      <c r="I479">
        <v>9.5310000000000006</v>
      </c>
      <c r="J479">
        <v>878.59167000000002</v>
      </c>
      <c r="K479" t="s">
        <v>1687</v>
      </c>
      <c r="L479" t="s">
        <v>660</v>
      </c>
      <c r="N479" t="s">
        <v>1688</v>
      </c>
      <c r="O479" t="s">
        <v>1699</v>
      </c>
      <c r="P479">
        <v>410</v>
      </c>
      <c r="Q479" t="b">
        <v>0</v>
      </c>
      <c r="R479" t="b">
        <v>1</v>
      </c>
      <c r="S479" t="b">
        <v>1</v>
      </c>
      <c r="T479" t="s">
        <v>7</v>
      </c>
      <c r="U479" t="b">
        <v>0</v>
      </c>
      <c r="V479" t="b">
        <v>0</v>
      </c>
      <c r="W479">
        <v>1591</v>
      </c>
      <c r="X479">
        <v>0</v>
      </c>
      <c r="Y479">
        <v>0</v>
      </c>
      <c r="Z479">
        <v>0.99</v>
      </c>
      <c r="AA479">
        <v>0.35799999999999998</v>
      </c>
      <c r="AB479">
        <v>0.502</v>
      </c>
      <c r="AC479">
        <v>0.85599999999999998</v>
      </c>
      <c r="AD479">
        <v>3</v>
      </c>
      <c r="AE479">
        <v>2</v>
      </c>
      <c r="AF479">
        <v>2.3340000000000001</v>
      </c>
      <c r="AG479">
        <v>593.62</v>
      </c>
      <c r="AH479" t="s">
        <v>1459</v>
      </c>
      <c r="AI479" t="s">
        <v>1690</v>
      </c>
      <c r="AJ479" t="s">
        <v>1691</v>
      </c>
      <c r="AK479">
        <v>0</v>
      </c>
      <c r="AL479">
        <v>86925</v>
      </c>
      <c r="AM479">
        <v>0</v>
      </c>
      <c r="AN479">
        <v>0</v>
      </c>
      <c r="AO479">
        <v>0</v>
      </c>
      <c r="AP479">
        <v>0</v>
      </c>
      <c r="AQ479">
        <v>0</v>
      </c>
      <c r="AR479">
        <v>0</v>
      </c>
      <c r="AS479">
        <v>0</v>
      </c>
      <c r="AT479">
        <v>0</v>
      </c>
      <c r="AU479">
        <v>388157</v>
      </c>
      <c r="AV479">
        <v>455903</v>
      </c>
      <c r="AW479">
        <v>443045</v>
      </c>
      <c r="AX479">
        <v>0</v>
      </c>
      <c r="AY479">
        <v>86925.0625</v>
      </c>
      <c r="AZ479">
        <v>0</v>
      </c>
      <c r="BA479">
        <v>0</v>
      </c>
      <c r="BB479">
        <v>0</v>
      </c>
      <c r="BC479">
        <v>0</v>
      </c>
      <c r="BD479">
        <v>0</v>
      </c>
      <c r="BE479">
        <v>0</v>
      </c>
      <c r="BF479">
        <v>0</v>
      </c>
      <c r="BG479">
        <v>0</v>
      </c>
      <c r="BH479">
        <v>388156.8125</v>
      </c>
      <c r="BI479">
        <v>455902.75</v>
      </c>
      <c r="BJ479">
        <v>443045.1875</v>
      </c>
      <c r="BK479">
        <v>0</v>
      </c>
      <c r="BL479">
        <v>0</v>
      </c>
      <c r="BM479">
        <v>0</v>
      </c>
      <c r="BN479">
        <v>0</v>
      </c>
      <c r="BO479">
        <v>0</v>
      </c>
      <c r="BP479">
        <v>0</v>
      </c>
      <c r="BQ479">
        <v>0</v>
      </c>
      <c r="BR479">
        <v>0</v>
      </c>
      <c r="BS479">
        <v>0</v>
      </c>
      <c r="BT479">
        <v>0</v>
      </c>
      <c r="BU479">
        <v>0</v>
      </c>
      <c r="BV479">
        <v>0</v>
      </c>
      <c r="BW479">
        <v>0</v>
      </c>
    </row>
    <row r="480" spans="1:75" x14ac:dyDescent="0.55000000000000004">
      <c r="A480">
        <v>1592</v>
      </c>
      <c r="B480">
        <v>13.791</v>
      </c>
      <c r="C480">
        <v>878.59076000000005</v>
      </c>
      <c r="D480" t="s">
        <v>1692</v>
      </c>
      <c r="E480" t="s">
        <v>1</v>
      </c>
      <c r="F480" t="s">
        <v>2</v>
      </c>
      <c r="G480">
        <v>0.31</v>
      </c>
      <c r="H480" t="b">
        <v>1</v>
      </c>
      <c r="I480">
        <v>9.5060000000000002</v>
      </c>
      <c r="J480">
        <v>878.59167000000002</v>
      </c>
      <c r="K480" t="s">
        <v>1687</v>
      </c>
      <c r="L480" t="s">
        <v>660</v>
      </c>
      <c r="N480" t="s">
        <v>1693</v>
      </c>
      <c r="O480" t="s">
        <v>1705</v>
      </c>
      <c r="P480">
        <v>410</v>
      </c>
      <c r="Q480" t="b">
        <v>0</v>
      </c>
      <c r="R480" t="b">
        <v>1</v>
      </c>
      <c r="S480" t="b">
        <v>1</v>
      </c>
      <c r="T480" t="s">
        <v>7</v>
      </c>
      <c r="U480" t="b">
        <v>0</v>
      </c>
      <c r="V480" t="b">
        <v>0</v>
      </c>
      <c r="W480">
        <v>1592</v>
      </c>
      <c r="X480">
        <v>0</v>
      </c>
      <c r="Y480">
        <v>0</v>
      </c>
      <c r="Z480">
        <v>0.99</v>
      </c>
      <c r="AA480">
        <v>0.495</v>
      </c>
      <c r="AB480">
        <v>0.68799999999999994</v>
      </c>
      <c r="AC480">
        <v>0.86</v>
      </c>
      <c r="AD480">
        <v>5</v>
      </c>
      <c r="AE480">
        <v>2</v>
      </c>
      <c r="AF480">
        <v>2.403</v>
      </c>
      <c r="AG480">
        <v>411.82</v>
      </c>
      <c r="AH480" t="s">
        <v>1480</v>
      </c>
      <c r="AI480" t="s">
        <v>1695</v>
      </c>
      <c r="AJ480" t="s">
        <v>1696</v>
      </c>
      <c r="AK480">
        <v>0</v>
      </c>
      <c r="AL480">
        <v>59130</v>
      </c>
      <c r="AM480">
        <v>0</v>
      </c>
      <c r="AN480">
        <v>0</v>
      </c>
      <c r="AO480">
        <v>0</v>
      </c>
      <c r="AP480">
        <v>0</v>
      </c>
      <c r="AQ480">
        <v>0</v>
      </c>
      <c r="AR480">
        <v>0</v>
      </c>
      <c r="AS480">
        <v>0</v>
      </c>
      <c r="AT480">
        <v>0</v>
      </c>
      <c r="AU480">
        <v>281895</v>
      </c>
      <c r="AV480">
        <v>328760</v>
      </c>
      <c r="AW480">
        <v>325793</v>
      </c>
      <c r="AX480">
        <v>0</v>
      </c>
      <c r="AY480">
        <v>59130.5</v>
      </c>
      <c r="AZ480">
        <v>0</v>
      </c>
      <c r="BA480">
        <v>0</v>
      </c>
      <c r="BB480">
        <v>0</v>
      </c>
      <c r="BC480">
        <v>0</v>
      </c>
      <c r="BD480">
        <v>0</v>
      </c>
      <c r="BE480">
        <v>0</v>
      </c>
      <c r="BF480">
        <v>0</v>
      </c>
      <c r="BG480">
        <v>0</v>
      </c>
      <c r="BH480">
        <v>281894.8125</v>
      </c>
      <c r="BI480">
        <v>328759.5625</v>
      </c>
      <c r="BJ480">
        <v>325793.25</v>
      </c>
      <c r="BK480">
        <v>0</v>
      </c>
      <c r="BL480">
        <v>0</v>
      </c>
      <c r="BM480">
        <v>0</v>
      </c>
      <c r="BN480">
        <v>0</v>
      </c>
      <c r="BO480">
        <v>0</v>
      </c>
      <c r="BP480">
        <v>0</v>
      </c>
      <c r="BQ480">
        <v>0</v>
      </c>
      <c r="BR480">
        <v>0</v>
      </c>
      <c r="BS480">
        <v>0</v>
      </c>
      <c r="BT480">
        <v>0</v>
      </c>
      <c r="BU480">
        <v>0</v>
      </c>
      <c r="BV480">
        <v>0</v>
      </c>
      <c r="BW480">
        <v>0</v>
      </c>
    </row>
    <row r="481" spans="1:75" x14ac:dyDescent="0.55000000000000004">
      <c r="A481">
        <v>1593</v>
      </c>
      <c r="B481">
        <v>14.265000000000001</v>
      </c>
      <c r="C481">
        <v>878.59094000000005</v>
      </c>
      <c r="D481" t="s">
        <v>1697</v>
      </c>
      <c r="E481" t="s">
        <v>1</v>
      </c>
      <c r="F481" t="s">
        <v>2</v>
      </c>
      <c r="G481">
        <v>0.31</v>
      </c>
      <c r="H481" t="b">
        <v>1</v>
      </c>
      <c r="I481">
        <v>9.782</v>
      </c>
      <c r="J481">
        <v>878.59167000000002</v>
      </c>
      <c r="K481" t="s">
        <v>1687</v>
      </c>
      <c r="L481" t="s">
        <v>660</v>
      </c>
      <c r="N481" t="s">
        <v>1698</v>
      </c>
      <c r="O481" t="s">
        <v>1711</v>
      </c>
      <c r="P481">
        <v>410</v>
      </c>
      <c r="Q481" t="b">
        <v>0</v>
      </c>
      <c r="R481" t="b">
        <v>1</v>
      </c>
      <c r="S481" t="b">
        <v>1</v>
      </c>
      <c r="T481" t="s">
        <v>7</v>
      </c>
      <c r="U481" t="b">
        <v>0</v>
      </c>
      <c r="V481" t="b">
        <v>0</v>
      </c>
      <c r="W481">
        <v>1593</v>
      </c>
      <c r="X481">
        <v>0</v>
      </c>
      <c r="Y481">
        <v>0</v>
      </c>
      <c r="Z481">
        <v>1</v>
      </c>
      <c r="AA481">
        <v>0.77500000000000002</v>
      </c>
      <c r="AB481">
        <v>0.82699999999999996</v>
      </c>
      <c r="AC481">
        <v>0.9</v>
      </c>
      <c r="AD481">
        <v>9</v>
      </c>
      <c r="AE481">
        <v>2</v>
      </c>
      <c r="AF481">
        <v>2.5139999999999998</v>
      </c>
      <c r="AG481">
        <v>28252.12</v>
      </c>
      <c r="AH481" t="s">
        <v>1459</v>
      </c>
      <c r="AI481" t="s">
        <v>1700</v>
      </c>
      <c r="AJ481" t="s">
        <v>1701</v>
      </c>
      <c r="AK481">
        <v>0</v>
      </c>
      <c r="AL481">
        <v>3014957</v>
      </c>
      <c r="AM481">
        <v>0</v>
      </c>
      <c r="AN481">
        <v>0</v>
      </c>
      <c r="AO481">
        <v>0</v>
      </c>
      <c r="AP481">
        <v>0</v>
      </c>
      <c r="AQ481">
        <v>0</v>
      </c>
      <c r="AR481">
        <v>0</v>
      </c>
      <c r="AS481">
        <v>0</v>
      </c>
      <c r="AT481">
        <v>0</v>
      </c>
      <c r="AU481">
        <v>13432313</v>
      </c>
      <c r="AV481">
        <v>15705668</v>
      </c>
      <c r="AW481">
        <v>15423292</v>
      </c>
      <c r="AX481">
        <v>0</v>
      </c>
      <c r="AY481">
        <v>3014957.1875</v>
      </c>
      <c r="AZ481">
        <v>0</v>
      </c>
      <c r="BA481">
        <v>0</v>
      </c>
      <c r="BB481">
        <v>0</v>
      </c>
      <c r="BC481">
        <v>0</v>
      </c>
      <c r="BD481">
        <v>0</v>
      </c>
      <c r="BE481">
        <v>0</v>
      </c>
      <c r="BF481">
        <v>0</v>
      </c>
      <c r="BG481">
        <v>0</v>
      </c>
      <c r="BH481">
        <v>13432312.9375</v>
      </c>
      <c r="BI481">
        <v>15705668.25</v>
      </c>
      <c r="BJ481">
        <v>15423291.5</v>
      </c>
      <c r="BK481">
        <v>0</v>
      </c>
      <c r="BL481">
        <v>0</v>
      </c>
      <c r="BM481">
        <v>0</v>
      </c>
      <c r="BN481">
        <v>0</v>
      </c>
      <c r="BO481">
        <v>0</v>
      </c>
      <c r="BP481">
        <v>0</v>
      </c>
      <c r="BQ481">
        <v>0</v>
      </c>
      <c r="BR481">
        <v>0</v>
      </c>
      <c r="BS481">
        <v>0</v>
      </c>
      <c r="BT481">
        <v>0</v>
      </c>
      <c r="BU481">
        <v>0</v>
      </c>
      <c r="BV481">
        <v>0</v>
      </c>
      <c r="BW481">
        <v>0</v>
      </c>
    </row>
    <row r="482" spans="1:75" x14ac:dyDescent="0.55000000000000004">
      <c r="A482">
        <v>1601</v>
      </c>
      <c r="B482">
        <v>15.066000000000001</v>
      </c>
      <c r="C482">
        <v>880.60553000000004</v>
      </c>
      <c r="D482" t="s">
        <v>1702</v>
      </c>
      <c r="E482" t="s">
        <v>1</v>
      </c>
      <c r="F482" t="s">
        <v>2</v>
      </c>
      <c r="G482">
        <v>0.31</v>
      </c>
      <c r="H482" t="b">
        <v>1</v>
      </c>
      <c r="I482">
        <v>10.053000000000001</v>
      </c>
      <c r="J482">
        <v>880.60730000000001</v>
      </c>
      <c r="K482" t="s">
        <v>1703</v>
      </c>
      <c r="L482" t="s">
        <v>660</v>
      </c>
      <c r="N482" t="s">
        <v>1704</v>
      </c>
      <c r="O482" t="s">
        <v>1717</v>
      </c>
      <c r="P482">
        <v>410</v>
      </c>
      <c r="Q482" t="b">
        <v>0</v>
      </c>
      <c r="R482" t="b">
        <v>1</v>
      </c>
      <c r="S482" t="b">
        <v>1</v>
      </c>
      <c r="T482" t="s">
        <v>7</v>
      </c>
      <c r="U482" t="b">
        <v>0</v>
      </c>
      <c r="V482" t="b">
        <v>0</v>
      </c>
      <c r="W482">
        <v>1601</v>
      </c>
      <c r="X482">
        <v>0</v>
      </c>
      <c r="Y482">
        <v>0</v>
      </c>
      <c r="Z482">
        <v>1</v>
      </c>
      <c r="AA482">
        <v>0.75</v>
      </c>
      <c r="AB482">
        <v>0.82</v>
      </c>
      <c r="AC482">
        <v>0.88900000000000001</v>
      </c>
      <c r="AD482">
        <v>7</v>
      </c>
      <c r="AE482">
        <v>2</v>
      </c>
      <c r="AF482">
        <v>2.5009999999999999</v>
      </c>
      <c r="AG482">
        <v>6846.36</v>
      </c>
      <c r="AH482" t="s">
        <v>1459</v>
      </c>
      <c r="AI482" t="s">
        <v>1706</v>
      </c>
      <c r="AJ482" t="s">
        <v>1707</v>
      </c>
      <c r="AK482">
        <v>0</v>
      </c>
      <c r="AL482">
        <v>492338</v>
      </c>
      <c r="AM482">
        <v>0</v>
      </c>
      <c r="AN482">
        <v>0</v>
      </c>
      <c r="AO482">
        <v>0</v>
      </c>
      <c r="AP482">
        <v>0</v>
      </c>
      <c r="AQ482">
        <v>0</v>
      </c>
      <c r="AR482">
        <v>0</v>
      </c>
      <c r="AS482">
        <v>0</v>
      </c>
      <c r="AT482">
        <v>0</v>
      </c>
      <c r="AU482">
        <v>2295692</v>
      </c>
      <c r="AV482">
        <v>2606198</v>
      </c>
      <c r="AW482">
        <v>2662115</v>
      </c>
      <c r="AX482">
        <v>0</v>
      </c>
      <c r="AY482">
        <v>492338.1875</v>
      </c>
      <c r="AZ482">
        <v>0</v>
      </c>
      <c r="BA482">
        <v>0</v>
      </c>
      <c r="BB482">
        <v>0</v>
      </c>
      <c r="BC482">
        <v>0</v>
      </c>
      <c r="BD482">
        <v>0</v>
      </c>
      <c r="BE482">
        <v>0</v>
      </c>
      <c r="BF482">
        <v>0</v>
      </c>
      <c r="BG482">
        <v>0</v>
      </c>
      <c r="BH482">
        <v>2295691.875</v>
      </c>
      <c r="BI482">
        <v>2606198.1875</v>
      </c>
      <c r="BJ482">
        <v>2662114.875</v>
      </c>
      <c r="BK482">
        <v>0</v>
      </c>
      <c r="BL482">
        <v>0</v>
      </c>
      <c r="BM482">
        <v>0</v>
      </c>
      <c r="BN482">
        <v>0</v>
      </c>
      <c r="BO482">
        <v>0</v>
      </c>
      <c r="BP482">
        <v>0</v>
      </c>
      <c r="BQ482">
        <v>0</v>
      </c>
      <c r="BR482">
        <v>0</v>
      </c>
      <c r="BS482">
        <v>0</v>
      </c>
      <c r="BT482">
        <v>0</v>
      </c>
      <c r="BU482">
        <v>0</v>
      </c>
      <c r="BV482">
        <v>0</v>
      </c>
      <c r="BW482">
        <v>0</v>
      </c>
    </row>
    <row r="483" spans="1:75" x14ac:dyDescent="0.55000000000000004">
      <c r="A483">
        <v>1602</v>
      </c>
      <c r="B483">
        <v>11.292</v>
      </c>
      <c r="C483">
        <v>881.51958999999999</v>
      </c>
      <c r="D483" t="s">
        <v>1708</v>
      </c>
      <c r="E483" t="s">
        <v>32</v>
      </c>
      <c r="F483" t="s">
        <v>2</v>
      </c>
      <c r="G483">
        <v>0.31</v>
      </c>
      <c r="H483" t="b">
        <v>1</v>
      </c>
      <c r="I483">
        <v>8.093</v>
      </c>
      <c r="J483">
        <v>881.51862000000006</v>
      </c>
      <c r="K483" t="s">
        <v>1709</v>
      </c>
      <c r="L483" t="s">
        <v>1024</v>
      </c>
      <c r="N483" t="s">
        <v>1710</v>
      </c>
      <c r="O483" t="s">
        <v>1722</v>
      </c>
      <c r="P483">
        <v>410</v>
      </c>
      <c r="Q483" t="b">
        <v>0</v>
      </c>
      <c r="R483" t="b">
        <v>1</v>
      </c>
      <c r="S483" t="b">
        <v>1</v>
      </c>
      <c r="T483" t="s">
        <v>7</v>
      </c>
      <c r="U483" t="b">
        <v>0</v>
      </c>
      <c r="V483" t="b">
        <v>0</v>
      </c>
      <c r="W483">
        <v>1602</v>
      </c>
      <c r="X483">
        <v>0</v>
      </c>
      <c r="Y483">
        <v>0</v>
      </c>
      <c r="Z483">
        <v>1</v>
      </c>
      <c r="AA483">
        <v>0.31</v>
      </c>
      <c r="AB483">
        <v>0.442</v>
      </c>
      <c r="AC483">
        <v>0.81299999999999994</v>
      </c>
      <c r="AD483">
        <v>5</v>
      </c>
      <c r="AE483">
        <v>2</v>
      </c>
      <c r="AF483">
        <v>2.2930000000000001</v>
      </c>
      <c r="AG483">
        <v>965.19</v>
      </c>
      <c r="AH483" t="s">
        <v>1480</v>
      </c>
      <c r="AI483" t="s">
        <v>1712</v>
      </c>
      <c r="AJ483" t="s">
        <v>1713</v>
      </c>
      <c r="AK483">
        <v>0</v>
      </c>
      <c r="AL483">
        <v>30233</v>
      </c>
      <c r="AM483">
        <v>0</v>
      </c>
      <c r="AN483">
        <v>0</v>
      </c>
      <c r="AO483">
        <v>0</v>
      </c>
      <c r="AP483">
        <v>0</v>
      </c>
      <c r="AQ483">
        <v>0</v>
      </c>
      <c r="AR483">
        <v>0</v>
      </c>
      <c r="AS483">
        <v>0</v>
      </c>
      <c r="AT483">
        <v>0</v>
      </c>
      <c r="AU483">
        <v>204299</v>
      </c>
      <c r="AV483">
        <v>233929</v>
      </c>
      <c r="AW483">
        <v>239576</v>
      </c>
      <c r="AX483">
        <v>0</v>
      </c>
      <c r="AY483">
        <v>30232.9375</v>
      </c>
      <c r="AZ483">
        <v>0</v>
      </c>
      <c r="BA483">
        <v>0</v>
      </c>
      <c r="BB483">
        <v>0</v>
      </c>
      <c r="BC483">
        <v>0</v>
      </c>
      <c r="BD483">
        <v>0</v>
      </c>
      <c r="BE483">
        <v>0</v>
      </c>
      <c r="BF483">
        <v>0</v>
      </c>
      <c r="BG483">
        <v>0</v>
      </c>
      <c r="BH483">
        <v>204298.6875</v>
      </c>
      <c r="BI483">
        <v>233928.8125</v>
      </c>
      <c r="BJ483">
        <v>239576.4375</v>
      </c>
      <c r="BK483">
        <v>0</v>
      </c>
      <c r="BL483">
        <v>0</v>
      </c>
      <c r="BM483">
        <v>0</v>
      </c>
      <c r="BN483">
        <v>0</v>
      </c>
      <c r="BO483">
        <v>0</v>
      </c>
      <c r="BP483">
        <v>0</v>
      </c>
      <c r="BQ483">
        <v>0</v>
      </c>
      <c r="BR483">
        <v>0</v>
      </c>
      <c r="BS483">
        <v>0</v>
      </c>
      <c r="BT483">
        <v>0</v>
      </c>
      <c r="BU483">
        <v>0</v>
      </c>
      <c r="BV483">
        <v>0</v>
      </c>
      <c r="BW483">
        <v>0</v>
      </c>
    </row>
    <row r="484" spans="1:75" x14ac:dyDescent="0.55000000000000004">
      <c r="A484">
        <v>1614</v>
      </c>
      <c r="B484">
        <v>14.737</v>
      </c>
      <c r="C484">
        <v>882.62157999999999</v>
      </c>
      <c r="D484" t="s">
        <v>1714</v>
      </c>
      <c r="E484" t="s">
        <v>1</v>
      </c>
      <c r="F484" t="s">
        <v>2</v>
      </c>
      <c r="G484">
        <v>0.08</v>
      </c>
      <c r="H484" t="b">
        <v>1</v>
      </c>
      <c r="I484">
        <v>11.042999999999999</v>
      </c>
      <c r="J484">
        <v>882.62298999999996</v>
      </c>
      <c r="K484" t="s">
        <v>1715</v>
      </c>
      <c r="L484" t="s">
        <v>660</v>
      </c>
      <c r="N484" t="s">
        <v>1716</v>
      </c>
      <c r="O484" t="s">
        <v>1728</v>
      </c>
      <c r="P484">
        <v>410</v>
      </c>
      <c r="Q484" t="b">
        <v>0</v>
      </c>
      <c r="R484" t="b">
        <v>1</v>
      </c>
      <c r="S484" t="b">
        <v>1</v>
      </c>
      <c r="T484" t="s">
        <v>7</v>
      </c>
      <c r="U484" t="b">
        <v>0</v>
      </c>
      <c r="V484" t="b">
        <v>0</v>
      </c>
      <c r="W484">
        <v>1614</v>
      </c>
      <c r="X484">
        <v>0</v>
      </c>
      <c r="Y484">
        <v>0</v>
      </c>
      <c r="Z484">
        <v>0.99</v>
      </c>
      <c r="AA484">
        <v>0.39500000000000002</v>
      </c>
      <c r="AB484">
        <v>0.57499999999999996</v>
      </c>
      <c r="AC484">
        <v>0.82799999999999996</v>
      </c>
      <c r="AD484">
        <v>4</v>
      </c>
      <c r="AE484">
        <v>2</v>
      </c>
      <c r="AF484">
        <v>2.3420000000000001</v>
      </c>
      <c r="AG484">
        <v>133.47</v>
      </c>
      <c r="AH484" t="s">
        <v>1582</v>
      </c>
      <c r="AI484" t="s">
        <v>1718</v>
      </c>
      <c r="AJ484" t="s">
        <v>1719</v>
      </c>
      <c r="AK484">
        <v>0</v>
      </c>
      <c r="AL484">
        <v>21282</v>
      </c>
      <c r="AM484">
        <v>0</v>
      </c>
      <c r="AN484">
        <v>0</v>
      </c>
      <c r="AO484">
        <v>0</v>
      </c>
      <c r="AP484">
        <v>0</v>
      </c>
      <c r="AQ484">
        <v>0</v>
      </c>
      <c r="AR484">
        <v>0</v>
      </c>
      <c r="AS484">
        <v>0</v>
      </c>
      <c r="AT484">
        <v>0</v>
      </c>
      <c r="AU484">
        <v>91142</v>
      </c>
      <c r="AV484">
        <v>106689</v>
      </c>
      <c r="AW484">
        <v>109733</v>
      </c>
      <c r="AX484">
        <v>0</v>
      </c>
      <c r="AY484">
        <v>21281.75</v>
      </c>
      <c r="AZ484">
        <v>0</v>
      </c>
      <c r="BA484">
        <v>0</v>
      </c>
      <c r="BB484">
        <v>0</v>
      </c>
      <c r="BC484">
        <v>0</v>
      </c>
      <c r="BD484">
        <v>0</v>
      </c>
      <c r="BE484">
        <v>0</v>
      </c>
      <c r="BF484">
        <v>0</v>
      </c>
      <c r="BG484">
        <v>0</v>
      </c>
      <c r="BH484">
        <v>91142.375</v>
      </c>
      <c r="BI484">
        <v>106688.6875</v>
      </c>
      <c r="BJ484">
        <v>109732.5625</v>
      </c>
      <c r="BK484">
        <v>0</v>
      </c>
      <c r="BL484">
        <v>0</v>
      </c>
      <c r="BM484">
        <v>0</v>
      </c>
      <c r="BN484">
        <v>0</v>
      </c>
      <c r="BO484">
        <v>0</v>
      </c>
      <c r="BP484">
        <v>0</v>
      </c>
      <c r="BQ484">
        <v>0</v>
      </c>
      <c r="BR484">
        <v>0</v>
      </c>
      <c r="BS484">
        <v>0</v>
      </c>
      <c r="BT484">
        <v>0</v>
      </c>
      <c r="BU484">
        <v>0</v>
      </c>
      <c r="BV484">
        <v>0</v>
      </c>
      <c r="BW484">
        <v>0</v>
      </c>
    </row>
    <row r="485" spans="1:75" x14ac:dyDescent="0.55000000000000004">
      <c r="A485">
        <v>1615</v>
      </c>
      <c r="B485">
        <v>15.4</v>
      </c>
      <c r="C485">
        <v>882.62256000000002</v>
      </c>
      <c r="D485" t="s">
        <v>1720</v>
      </c>
      <c r="E485" t="s">
        <v>1</v>
      </c>
      <c r="F485" t="s">
        <v>2</v>
      </c>
      <c r="G485">
        <v>0.31</v>
      </c>
      <c r="H485" t="b">
        <v>1</v>
      </c>
      <c r="I485">
        <v>10.991</v>
      </c>
      <c r="J485">
        <v>882.62298999999996</v>
      </c>
      <c r="K485" t="s">
        <v>1715</v>
      </c>
      <c r="L485" t="s">
        <v>660</v>
      </c>
      <c r="N485" t="s">
        <v>1721</v>
      </c>
      <c r="O485" t="s">
        <v>1733</v>
      </c>
      <c r="P485">
        <v>410</v>
      </c>
      <c r="Q485" t="b">
        <v>0</v>
      </c>
      <c r="R485" t="b">
        <v>1</v>
      </c>
      <c r="S485" t="b">
        <v>1</v>
      </c>
      <c r="T485" t="s">
        <v>7</v>
      </c>
      <c r="U485" t="b">
        <v>0</v>
      </c>
      <c r="V485" t="b">
        <v>0</v>
      </c>
      <c r="W485">
        <v>1615</v>
      </c>
      <c r="X485">
        <v>0</v>
      </c>
      <c r="Y485">
        <v>0</v>
      </c>
      <c r="Z485">
        <v>1</v>
      </c>
      <c r="AA485">
        <v>0.80500000000000005</v>
      </c>
      <c r="AB485">
        <v>0.84399999999999997</v>
      </c>
      <c r="AC485">
        <v>0.878</v>
      </c>
      <c r="AD485">
        <v>9</v>
      </c>
      <c r="AE485">
        <v>2</v>
      </c>
      <c r="AF485">
        <v>2.5150000000000001</v>
      </c>
      <c r="AG485">
        <v>5076.51</v>
      </c>
      <c r="AH485" t="s">
        <v>1471</v>
      </c>
      <c r="AI485" t="s">
        <v>1723</v>
      </c>
      <c r="AJ485" t="s">
        <v>1724</v>
      </c>
      <c r="AK485">
        <v>0</v>
      </c>
      <c r="AL485">
        <v>516817</v>
      </c>
      <c r="AM485">
        <v>0</v>
      </c>
      <c r="AN485">
        <v>0</v>
      </c>
      <c r="AO485">
        <v>0</v>
      </c>
      <c r="AP485">
        <v>0</v>
      </c>
      <c r="AQ485">
        <v>0</v>
      </c>
      <c r="AR485">
        <v>0</v>
      </c>
      <c r="AS485">
        <v>0</v>
      </c>
      <c r="AT485">
        <v>0</v>
      </c>
      <c r="AU485">
        <v>2769280</v>
      </c>
      <c r="AV485">
        <v>3213054</v>
      </c>
      <c r="AW485">
        <v>3275736</v>
      </c>
      <c r="AX485">
        <v>0</v>
      </c>
      <c r="AY485">
        <v>516816.9375</v>
      </c>
      <c r="AZ485">
        <v>0</v>
      </c>
      <c r="BA485">
        <v>0</v>
      </c>
      <c r="BB485">
        <v>0</v>
      </c>
      <c r="BC485">
        <v>0</v>
      </c>
      <c r="BD485">
        <v>0</v>
      </c>
      <c r="BE485">
        <v>0</v>
      </c>
      <c r="BF485">
        <v>0</v>
      </c>
      <c r="BG485">
        <v>0</v>
      </c>
      <c r="BH485">
        <v>2769280.4375</v>
      </c>
      <c r="BI485">
        <v>3213053.625</v>
      </c>
      <c r="BJ485">
        <v>3275735.75</v>
      </c>
      <c r="BK485">
        <v>0</v>
      </c>
      <c r="BL485">
        <v>0</v>
      </c>
      <c r="BM485">
        <v>0</v>
      </c>
      <c r="BN485">
        <v>0</v>
      </c>
      <c r="BO485">
        <v>0</v>
      </c>
      <c r="BP485">
        <v>0</v>
      </c>
      <c r="BQ485">
        <v>0</v>
      </c>
      <c r="BR485">
        <v>0</v>
      </c>
      <c r="BS485">
        <v>0</v>
      </c>
      <c r="BT485">
        <v>0</v>
      </c>
      <c r="BU485">
        <v>0</v>
      </c>
      <c r="BV485">
        <v>0</v>
      </c>
      <c r="BW485">
        <v>0</v>
      </c>
    </row>
    <row r="486" spans="1:75" x14ac:dyDescent="0.55000000000000004">
      <c r="A486">
        <v>1617</v>
      </c>
      <c r="B486">
        <v>11.839</v>
      </c>
      <c r="C486">
        <v>883.53363000000002</v>
      </c>
      <c r="D486" t="s">
        <v>1725</v>
      </c>
      <c r="E486" t="s">
        <v>32</v>
      </c>
      <c r="F486" t="s">
        <v>2</v>
      </c>
      <c r="G486">
        <v>0.31</v>
      </c>
      <c r="H486" t="b">
        <v>1</v>
      </c>
      <c r="I486">
        <v>8.2170000000000005</v>
      </c>
      <c r="J486">
        <v>883.53417999999999</v>
      </c>
      <c r="K486" t="s">
        <v>1726</v>
      </c>
      <c r="L486" t="s">
        <v>1024</v>
      </c>
      <c r="N486" t="s">
        <v>1727</v>
      </c>
      <c r="O486" t="s">
        <v>1739</v>
      </c>
      <c r="P486">
        <v>410</v>
      </c>
      <c r="Q486" t="b">
        <v>0</v>
      </c>
      <c r="R486" t="b">
        <v>1</v>
      </c>
      <c r="S486" t="b">
        <v>1</v>
      </c>
      <c r="T486" t="s">
        <v>7</v>
      </c>
      <c r="U486" t="b">
        <v>0</v>
      </c>
      <c r="V486" t="b">
        <v>0</v>
      </c>
      <c r="W486">
        <v>1617</v>
      </c>
      <c r="X486">
        <v>0</v>
      </c>
      <c r="Y486">
        <v>0</v>
      </c>
      <c r="Z486">
        <v>0.99</v>
      </c>
      <c r="AA486">
        <v>0.34300000000000003</v>
      </c>
      <c r="AB486">
        <v>0.47399999999999998</v>
      </c>
      <c r="AC486">
        <v>0.84799999999999998</v>
      </c>
      <c r="AD486">
        <v>6</v>
      </c>
      <c r="AE486">
        <v>2</v>
      </c>
      <c r="AF486">
        <v>2.3199999999999998</v>
      </c>
      <c r="AG486">
        <v>1873.4</v>
      </c>
      <c r="AH486" t="s">
        <v>1480</v>
      </c>
      <c r="AI486" t="s">
        <v>1729</v>
      </c>
      <c r="AJ486" t="s">
        <v>1730</v>
      </c>
      <c r="AK486">
        <v>0</v>
      </c>
      <c r="AL486">
        <v>85476</v>
      </c>
      <c r="AM486">
        <v>0</v>
      </c>
      <c r="AN486">
        <v>0</v>
      </c>
      <c r="AO486">
        <v>0</v>
      </c>
      <c r="AP486">
        <v>0</v>
      </c>
      <c r="AQ486">
        <v>0</v>
      </c>
      <c r="AR486">
        <v>0</v>
      </c>
      <c r="AS486">
        <v>0</v>
      </c>
      <c r="AT486">
        <v>0</v>
      </c>
      <c r="AU486">
        <v>591397</v>
      </c>
      <c r="AV486">
        <v>694035</v>
      </c>
      <c r="AW486">
        <v>692847</v>
      </c>
      <c r="AX486">
        <v>0</v>
      </c>
      <c r="AY486">
        <v>85476.3125</v>
      </c>
      <c r="AZ486">
        <v>0</v>
      </c>
      <c r="BA486">
        <v>0</v>
      </c>
      <c r="BB486">
        <v>0</v>
      </c>
      <c r="BC486">
        <v>0</v>
      </c>
      <c r="BD486">
        <v>0</v>
      </c>
      <c r="BE486">
        <v>0</v>
      </c>
      <c r="BF486">
        <v>0</v>
      </c>
      <c r="BG486">
        <v>0</v>
      </c>
      <c r="BH486">
        <v>591397.25</v>
      </c>
      <c r="BI486">
        <v>694034.5625</v>
      </c>
      <c r="BJ486">
        <v>692846.8125</v>
      </c>
      <c r="BK486">
        <v>0</v>
      </c>
      <c r="BL486">
        <v>0</v>
      </c>
      <c r="BM486">
        <v>0</v>
      </c>
      <c r="BN486">
        <v>0</v>
      </c>
      <c r="BO486">
        <v>0</v>
      </c>
      <c r="BP486">
        <v>0</v>
      </c>
      <c r="BQ486">
        <v>0</v>
      </c>
      <c r="BR486">
        <v>0</v>
      </c>
      <c r="BS486">
        <v>0</v>
      </c>
      <c r="BT486">
        <v>0</v>
      </c>
      <c r="BU486">
        <v>0</v>
      </c>
      <c r="BV486">
        <v>0</v>
      </c>
      <c r="BW486">
        <v>0</v>
      </c>
    </row>
    <row r="487" spans="1:75" x14ac:dyDescent="0.55000000000000004">
      <c r="A487">
        <v>1618</v>
      </c>
      <c r="B487">
        <v>12.087</v>
      </c>
      <c r="C487">
        <v>883.53423999999995</v>
      </c>
      <c r="D487" t="s">
        <v>1731</v>
      </c>
      <c r="E487" t="s">
        <v>32</v>
      </c>
      <c r="F487" t="s">
        <v>2</v>
      </c>
      <c r="G487">
        <v>0.31</v>
      </c>
      <c r="H487" t="b">
        <v>1</v>
      </c>
      <c r="I487">
        <v>8.2720000000000002</v>
      </c>
      <c r="J487">
        <v>883.53417999999999</v>
      </c>
      <c r="K487" t="s">
        <v>1726</v>
      </c>
      <c r="L487" t="s">
        <v>1024</v>
      </c>
      <c r="N487" t="s">
        <v>1732</v>
      </c>
      <c r="O487" t="s">
        <v>1745</v>
      </c>
      <c r="P487">
        <v>410</v>
      </c>
      <c r="Q487" t="b">
        <v>0</v>
      </c>
      <c r="R487" t="b">
        <v>1</v>
      </c>
      <c r="S487" t="b">
        <v>1</v>
      </c>
      <c r="T487" t="s">
        <v>7</v>
      </c>
      <c r="U487" t="b">
        <v>0</v>
      </c>
      <c r="V487" t="b">
        <v>0</v>
      </c>
      <c r="W487">
        <v>1618</v>
      </c>
      <c r="X487">
        <v>0</v>
      </c>
      <c r="Y487">
        <v>0</v>
      </c>
      <c r="Z487">
        <v>1</v>
      </c>
      <c r="AA487">
        <v>0.24099999999999999</v>
      </c>
      <c r="AB487">
        <v>0.38100000000000001</v>
      </c>
      <c r="AC487">
        <v>0.83499999999999996</v>
      </c>
      <c r="AD487">
        <v>5</v>
      </c>
      <c r="AE487">
        <v>2</v>
      </c>
      <c r="AF487">
        <v>2.2770000000000001</v>
      </c>
      <c r="AG487">
        <v>765.16</v>
      </c>
      <c r="AH487" t="s">
        <v>1582</v>
      </c>
      <c r="AI487" t="s">
        <v>1734</v>
      </c>
      <c r="AJ487" t="s">
        <v>1735</v>
      </c>
      <c r="AK487">
        <v>0</v>
      </c>
      <c r="AL487">
        <v>46015</v>
      </c>
      <c r="AM487">
        <v>0</v>
      </c>
      <c r="AN487">
        <v>0</v>
      </c>
      <c r="AO487">
        <v>0</v>
      </c>
      <c r="AP487">
        <v>0</v>
      </c>
      <c r="AQ487">
        <v>0</v>
      </c>
      <c r="AR487">
        <v>0</v>
      </c>
      <c r="AS487">
        <v>0</v>
      </c>
      <c r="AT487">
        <v>0</v>
      </c>
      <c r="AU487">
        <v>324667</v>
      </c>
      <c r="AV487">
        <v>372721</v>
      </c>
      <c r="AW487">
        <v>378880</v>
      </c>
      <c r="AX487">
        <v>0</v>
      </c>
      <c r="AY487">
        <v>46015.125</v>
      </c>
      <c r="AZ487">
        <v>0</v>
      </c>
      <c r="BA487">
        <v>0</v>
      </c>
      <c r="BB487">
        <v>0</v>
      </c>
      <c r="BC487">
        <v>0</v>
      </c>
      <c r="BD487">
        <v>0</v>
      </c>
      <c r="BE487">
        <v>0</v>
      </c>
      <c r="BF487">
        <v>0</v>
      </c>
      <c r="BG487">
        <v>0</v>
      </c>
      <c r="BH487">
        <v>324666.8125</v>
      </c>
      <c r="BI487">
        <v>372720.9375</v>
      </c>
      <c r="BJ487">
        <v>378880.4375</v>
      </c>
      <c r="BK487">
        <v>0</v>
      </c>
      <c r="BL487">
        <v>0</v>
      </c>
      <c r="BM487">
        <v>0</v>
      </c>
      <c r="BN487">
        <v>0</v>
      </c>
      <c r="BO487">
        <v>0</v>
      </c>
      <c r="BP487">
        <v>0</v>
      </c>
      <c r="BQ487">
        <v>0</v>
      </c>
      <c r="BR487">
        <v>0</v>
      </c>
      <c r="BS487">
        <v>0</v>
      </c>
      <c r="BT487">
        <v>0</v>
      </c>
      <c r="BU487">
        <v>0</v>
      </c>
      <c r="BV487">
        <v>0</v>
      </c>
      <c r="BW487">
        <v>0</v>
      </c>
    </row>
    <row r="488" spans="1:75" x14ac:dyDescent="0.55000000000000004">
      <c r="A488">
        <v>1629</v>
      </c>
      <c r="B488">
        <v>16.114000000000001</v>
      </c>
      <c r="C488">
        <v>884.63629000000003</v>
      </c>
      <c r="D488" t="s">
        <v>1736</v>
      </c>
      <c r="E488" t="s">
        <v>1</v>
      </c>
      <c r="F488" t="s">
        <v>2</v>
      </c>
      <c r="G488">
        <v>0.23</v>
      </c>
      <c r="H488" t="b">
        <v>1</v>
      </c>
      <c r="I488">
        <v>11.567</v>
      </c>
      <c r="J488">
        <v>884.63860999999997</v>
      </c>
      <c r="K488" t="s">
        <v>1737</v>
      </c>
      <c r="L488" t="s">
        <v>660</v>
      </c>
      <c r="N488" t="s">
        <v>1738</v>
      </c>
      <c r="O488" t="s">
        <v>1750</v>
      </c>
      <c r="P488">
        <v>410</v>
      </c>
      <c r="Q488" t="b">
        <v>0</v>
      </c>
      <c r="R488" t="b">
        <v>1</v>
      </c>
      <c r="S488" t="b">
        <v>1</v>
      </c>
      <c r="T488" t="s">
        <v>7</v>
      </c>
      <c r="U488" t="b">
        <v>0</v>
      </c>
      <c r="V488" t="b">
        <v>0</v>
      </c>
      <c r="W488">
        <v>1629</v>
      </c>
      <c r="X488">
        <v>0</v>
      </c>
      <c r="Y488">
        <v>0</v>
      </c>
      <c r="Z488">
        <v>0.99</v>
      </c>
      <c r="AA488">
        <v>0.42199999999999999</v>
      </c>
      <c r="AB488">
        <v>0.58099999999999996</v>
      </c>
      <c r="AC488">
        <v>0.81100000000000005</v>
      </c>
      <c r="AD488">
        <v>3</v>
      </c>
      <c r="AE488">
        <v>2</v>
      </c>
      <c r="AF488">
        <v>2.3410000000000002</v>
      </c>
      <c r="AG488">
        <v>251.53</v>
      </c>
      <c r="AH488" t="s">
        <v>1480</v>
      </c>
      <c r="AI488" t="s">
        <v>1740</v>
      </c>
      <c r="AJ488" t="s">
        <v>1741</v>
      </c>
      <c r="AK488">
        <v>0</v>
      </c>
      <c r="AL488">
        <v>16505</v>
      </c>
      <c r="AM488">
        <v>0</v>
      </c>
      <c r="AN488">
        <v>0</v>
      </c>
      <c r="AO488">
        <v>0</v>
      </c>
      <c r="AP488">
        <v>0</v>
      </c>
      <c r="AQ488">
        <v>0</v>
      </c>
      <c r="AR488">
        <v>0</v>
      </c>
      <c r="AS488">
        <v>0</v>
      </c>
      <c r="AT488">
        <v>0</v>
      </c>
      <c r="AU488">
        <v>111496</v>
      </c>
      <c r="AV488">
        <v>127244</v>
      </c>
      <c r="AW488">
        <v>128163</v>
      </c>
      <c r="AX488">
        <v>0</v>
      </c>
      <c r="AY488">
        <v>16505.375</v>
      </c>
      <c r="AZ488">
        <v>0</v>
      </c>
      <c r="BA488">
        <v>0</v>
      </c>
      <c r="BB488">
        <v>0</v>
      </c>
      <c r="BC488">
        <v>0</v>
      </c>
      <c r="BD488">
        <v>0</v>
      </c>
      <c r="BE488">
        <v>0</v>
      </c>
      <c r="BF488">
        <v>0</v>
      </c>
      <c r="BG488">
        <v>0</v>
      </c>
      <c r="BH488">
        <v>111496.5</v>
      </c>
      <c r="BI488">
        <v>127244.0625</v>
      </c>
      <c r="BJ488">
        <v>128162.8125</v>
      </c>
      <c r="BK488">
        <v>0</v>
      </c>
      <c r="BL488">
        <v>0</v>
      </c>
      <c r="BM488">
        <v>0</v>
      </c>
      <c r="BN488">
        <v>0</v>
      </c>
      <c r="BO488">
        <v>0</v>
      </c>
      <c r="BP488">
        <v>0</v>
      </c>
      <c r="BQ488">
        <v>0</v>
      </c>
      <c r="BR488">
        <v>0</v>
      </c>
      <c r="BS488">
        <v>0</v>
      </c>
      <c r="BT488">
        <v>0</v>
      </c>
      <c r="BU488">
        <v>0</v>
      </c>
      <c r="BV488">
        <v>0</v>
      </c>
      <c r="BW488">
        <v>0</v>
      </c>
    </row>
    <row r="489" spans="1:75" x14ac:dyDescent="0.55000000000000004">
      <c r="A489">
        <v>1633</v>
      </c>
      <c r="B489">
        <v>13.237</v>
      </c>
      <c r="C489">
        <v>885.54967999999997</v>
      </c>
      <c r="D489" t="s">
        <v>1742</v>
      </c>
      <c r="E489" t="s">
        <v>32</v>
      </c>
      <c r="F489" t="s">
        <v>2</v>
      </c>
      <c r="G489">
        <v>0.31</v>
      </c>
      <c r="H489" t="b">
        <v>1</v>
      </c>
      <c r="I489">
        <v>8.4740000000000002</v>
      </c>
      <c r="J489">
        <v>885.54993000000002</v>
      </c>
      <c r="K489" t="s">
        <v>1743</v>
      </c>
      <c r="L489" t="s">
        <v>1024</v>
      </c>
      <c r="N489" t="s">
        <v>1744</v>
      </c>
      <c r="O489" t="s">
        <v>1756</v>
      </c>
      <c r="P489">
        <v>410</v>
      </c>
      <c r="Q489" t="b">
        <v>0</v>
      </c>
      <c r="R489" t="b">
        <v>1</v>
      </c>
      <c r="S489" t="b">
        <v>1</v>
      </c>
      <c r="T489" t="s">
        <v>7</v>
      </c>
      <c r="U489" t="b">
        <v>0</v>
      </c>
      <c r="V489" t="b">
        <v>0</v>
      </c>
      <c r="W489">
        <v>1633</v>
      </c>
      <c r="X489">
        <v>0</v>
      </c>
      <c r="Y489">
        <v>0</v>
      </c>
      <c r="Z489">
        <v>1</v>
      </c>
      <c r="AA489">
        <v>0.66800000000000004</v>
      </c>
      <c r="AB489">
        <v>0.73199999999999998</v>
      </c>
      <c r="AC489">
        <v>0.83799999999999997</v>
      </c>
      <c r="AD489">
        <v>8</v>
      </c>
      <c r="AE489">
        <v>2</v>
      </c>
      <c r="AF489">
        <v>2.4449999999999998</v>
      </c>
      <c r="AG489">
        <v>70102.16</v>
      </c>
      <c r="AH489" t="s">
        <v>1459</v>
      </c>
      <c r="AI489" t="s">
        <v>1746</v>
      </c>
      <c r="AJ489" t="s">
        <v>1747</v>
      </c>
      <c r="AK489">
        <v>0</v>
      </c>
      <c r="AL489">
        <v>4012548</v>
      </c>
      <c r="AM489">
        <v>0</v>
      </c>
      <c r="AN489">
        <v>0</v>
      </c>
      <c r="AO489">
        <v>0</v>
      </c>
      <c r="AP489">
        <v>0</v>
      </c>
      <c r="AQ489">
        <v>0</v>
      </c>
      <c r="AR489">
        <v>0</v>
      </c>
      <c r="AS489">
        <v>0</v>
      </c>
      <c r="AT489">
        <v>0</v>
      </c>
      <c r="AU489">
        <v>18440542</v>
      </c>
      <c r="AV489">
        <v>20311641</v>
      </c>
      <c r="AW489">
        <v>20510281</v>
      </c>
      <c r="AX489">
        <v>0</v>
      </c>
      <c r="AY489">
        <v>4012548.0625</v>
      </c>
      <c r="AZ489">
        <v>0</v>
      </c>
      <c r="BA489">
        <v>0</v>
      </c>
      <c r="BB489">
        <v>0</v>
      </c>
      <c r="BC489">
        <v>0</v>
      </c>
      <c r="BD489">
        <v>0</v>
      </c>
      <c r="BE489">
        <v>0</v>
      </c>
      <c r="BF489">
        <v>0</v>
      </c>
      <c r="BG489">
        <v>0</v>
      </c>
      <c r="BH489">
        <v>18440541.5</v>
      </c>
      <c r="BI489">
        <v>20311640.6875</v>
      </c>
      <c r="BJ489">
        <v>20510281.25</v>
      </c>
      <c r="BK489">
        <v>0</v>
      </c>
      <c r="BL489">
        <v>0</v>
      </c>
      <c r="BM489">
        <v>0</v>
      </c>
      <c r="BN489">
        <v>0</v>
      </c>
      <c r="BO489">
        <v>0</v>
      </c>
      <c r="BP489">
        <v>0</v>
      </c>
      <c r="BQ489">
        <v>0</v>
      </c>
      <c r="BR489">
        <v>0</v>
      </c>
      <c r="BS489">
        <v>0</v>
      </c>
      <c r="BT489">
        <v>0</v>
      </c>
      <c r="BU489">
        <v>0</v>
      </c>
      <c r="BV489">
        <v>0</v>
      </c>
      <c r="BW489">
        <v>0</v>
      </c>
    </row>
    <row r="490" spans="1:75" x14ac:dyDescent="0.55000000000000004">
      <c r="A490">
        <v>1634</v>
      </c>
      <c r="B490">
        <v>12.465999999999999</v>
      </c>
      <c r="C490">
        <v>885.55260999999996</v>
      </c>
      <c r="D490" t="s">
        <v>1748</v>
      </c>
      <c r="E490" t="s">
        <v>32</v>
      </c>
      <c r="F490" t="s">
        <v>2</v>
      </c>
      <c r="G490">
        <v>0.23</v>
      </c>
      <c r="H490" t="b">
        <v>1</v>
      </c>
      <c r="I490">
        <v>8.3719999999999999</v>
      </c>
      <c r="J490">
        <v>885.54993000000002</v>
      </c>
      <c r="K490" t="s">
        <v>1743</v>
      </c>
      <c r="L490" t="s">
        <v>1024</v>
      </c>
      <c r="N490" t="s">
        <v>1749</v>
      </c>
      <c r="O490" t="s">
        <v>1762</v>
      </c>
      <c r="P490">
        <v>410</v>
      </c>
      <c r="Q490" t="b">
        <v>0</v>
      </c>
      <c r="R490" t="b">
        <v>1</v>
      </c>
      <c r="S490" t="b">
        <v>1</v>
      </c>
      <c r="T490" t="s">
        <v>7</v>
      </c>
      <c r="U490" t="b">
        <v>0</v>
      </c>
      <c r="V490" t="b">
        <v>0</v>
      </c>
      <c r="W490">
        <v>1634</v>
      </c>
      <c r="X490">
        <v>0</v>
      </c>
      <c r="Y490">
        <v>0</v>
      </c>
      <c r="Z490">
        <v>0.99</v>
      </c>
      <c r="AA490">
        <v>0.25800000000000001</v>
      </c>
      <c r="AB490">
        <v>0.375</v>
      </c>
      <c r="AC490">
        <v>0.73799999999999999</v>
      </c>
      <c r="AD490">
        <v>5</v>
      </c>
      <c r="AE490">
        <v>2</v>
      </c>
      <c r="AF490">
        <v>2.2309999999999999</v>
      </c>
      <c r="AG490">
        <v>267.95</v>
      </c>
      <c r="AH490" t="s">
        <v>1480</v>
      </c>
      <c r="AI490" t="s">
        <v>1751</v>
      </c>
      <c r="AJ490" t="s">
        <v>1752</v>
      </c>
      <c r="AK490">
        <v>0</v>
      </c>
      <c r="AL490">
        <v>7122</v>
      </c>
      <c r="AM490">
        <v>0</v>
      </c>
      <c r="AN490">
        <v>0</v>
      </c>
      <c r="AO490">
        <v>0</v>
      </c>
      <c r="AP490">
        <v>0</v>
      </c>
      <c r="AQ490">
        <v>0</v>
      </c>
      <c r="AR490">
        <v>0</v>
      </c>
      <c r="AS490">
        <v>0</v>
      </c>
      <c r="AT490">
        <v>0</v>
      </c>
      <c r="AU490">
        <v>71500</v>
      </c>
      <c r="AV490">
        <v>81937</v>
      </c>
      <c r="AW490">
        <v>76559</v>
      </c>
      <c r="AX490">
        <v>0</v>
      </c>
      <c r="AY490">
        <v>7121.6875</v>
      </c>
      <c r="AZ490">
        <v>0</v>
      </c>
      <c r="BA490">
        <v>0</v>
      </c>
      <c r="BB490">
        <v>0</v>
      </c>
      <c r="BC490">
        <v>0</v>
      </c>
      <c r="BD490">
        <v>0</v>
      </c>
      <c r="BE490">
        <v>0</v>
      </c>
      <c r="BF490">
        <v>0</v>
      </c>
      <c r="BG490">
        <v>0</v>
      </c>
      <c r="BH490">
        <v>71500.125</v>
      </c>
      <c r="BI490">
        <v>81936.6875</v>
      </c>
      <c r="BJ490">
        <v>76558.5625</v>
      </c>
      <c r="BK490">
        <v>0</v>
      </c>
      <c r="BL490">
        <v>0</v>
      </c>
      <c r="BM490">
        <v>0</v>
      </c>
      <c r="BN490">
        <v>0</v>
      </c>
      <c r="BO490">
        <v>0</v>
      </c>
      <c r="BP490">
        <v>0</v>
      </c>
      <c r="BQ490">
        <v>0</v>
      </c>
      <c r="BR490">
        <v>0</v>
      </c>
      <c r="BS490">
        <v>0</v>
      </c>
      <c r="BT490">
        <v>0</v>
      </c>
      <c r="BU490">
        <v>0</v>
      </c>
      <c r="BV490">
        <v>0</v>
      </c>
      <c r="BW490">
        <v>0</v>
      </c>
    </row>
    <row r="491" spans="1:75" x14ac:dyDescent="0.55000000000000004">
      <c r="A491">
        <v>1663</v>
      </c>
      <c r="B491">
        <v>16.734999999999999</v>
      </c>
      <c r="C491">
        <v>886.65252999999996</v>
      </c>
      <c r="D491" t="s">
        <v>1753</v>
      </c>
      <c r="E491" t="s">
        <v>1</v>
      </c>
      <c r="F491" t="s">
        <v>2</v>
      </c>
      <c r="G491">
        <v>0.23</v>
      </c>
      <c r="H491" t="b">
        <v>1</v>
      </c>
      <c r="I491">
        <v>12.57</v>
      </c>
      <c r="J491">
        <v>886.65430000000003</v>
      </c>
      <c r="K491" t="s">
        <v>1754</v>
      </c>
      <c r="L491" t="s">
        <v>660</v>
      </c>
      <c r="N491" t="s">
        <v>1755</v>
      </c>
      <c r="O491" t="s">
        <v>1762</v>
      </c>
      <c r="P491">
        <v>410</v>
      </c>
      <c r="Q491" t="b">
        <v>0</v>
      </c>
      <c r="R491" t="b">
        <v>1</v>
      </c>
      <c r="S491" t="b">
        <v>1</v>
      </c>
      <c r="T491" t="s">
        <v>7</v>
      </c>
      <c r="U491" t="b">
        <v>0</v>
      </c>
      <c r="V491" t="b">
        <v>0</v>
      </c>
      <c r="W491">
        <v>1663</v>
      </c>
      <c r="X491">
        <v>0</v>
      </c>
      <c r="Y491">
        <v>0</v>
      </c>
      <c r="Z491">
        <v>0.97</v>
      </c>
      <c r="AA491">
        <v>0.41</v>
      </c>
      <c r="AB491">
        <v>0.54400000000000004</v>
      </c>
      <c r="AC491">
        <v>0.82799999999999996</v>
      </c>
      <c r="AD491">
        <v>3</v>
      </c>
      <c r="AE491">
        <v>2</v>
      </c>
      <c r="AF491">
        <v>2.331</v>
      </c>
      <c r="AG491">
        <v>214.6</v>
      </c>
      <c r="AH491" t="s">
        <v>1480</v>
      </c>
      <c r="AI491" t="s">
        <v>1757</v>
      </c>
      <c r="AJ491" t="s">
        <v>1758</v>
      </c>
      <c r="AK491">
        <v>0</v>
      </c>
      <c r="AL491">
        <v>18965</v>
      </c>
      <c r="AM491">
        <v>0</v>
      </c>
      <c r="AN491">
        <v>0</v>
      </c>
      <c r="AO491">
        <v>0</v>
      </c>
      <c r="AP491">
        <v>0</v>
      </c>
      <c r="AQ491">
        <v>0</v>
      </c>
      <c r="AR491">
        <v>0</v>
      </c>
      <c r="AS491">
        <v>0</v>
      </c>
      <c r="AT491">
        <v>0</v>
      </c>
      <c r="AU491">
        <v>81168</v>
      </c>
      <c r="AV491">
        <v>94102</v>
      </c>
      <c r="AW491">
        <v>93791</v>
      </c>
      <c r="AX491">
        <v>0</v>
      </c>
      <c r="AY491">
        <v>18964.625</v>
      </c>
      <c r="AZ491">
        <v>0</v>
      </c>
      <c r="BA491">
        <v>0</v>
      </c>
      <c r="BB491">
        <v>0</v>
      </c>
      <c r="BC491">
        <v>0</v>
      </c>
      <c r="BD491">
        <v>0</v>
      </c>
      <c r="BE491">
        <v>0</v>
      </c>
      <c r="BF491">
        <v>0</v>
      </c>
      <c r="BG491">
        <v>0</v>
      </c>
      <c r="BH491">
        <v>81167.5</v>
      </c>
      <c r="BI491">
        <v>94102</v>
      </c>
      <c r="BJ491">
        <v>93790.625</v>
      </c>
      <c r="BK491">
        <v>0</v>
      </c>
      <c r="BL491">
        <v>0</v>
      </c>
      <c r="BM491">
        <v>0</v>
      </c>
      <c r="BN491">
        <v>0</v>
      </c>
      <c r="BO491">
        <v>0</v>
      </c>
      <c r="BP491">
        <v>0</v>
      </c>
      <c r="BQ491">
        <v>0</v>
      </c>
      <c r="BR491">
        <v>0</v>
      </c>
      <c r="BS491">
        <v>0</v>
      </c>
      <c r="BT491">
        <v>0</v>
      </c>
      <c r="BU491">
        <v>0</v>
      </c>
      <c r="BV491">
        <v>0</v>
      </c>
      <c r="BW491">
        <v>0</v>
      </c>
    </row>
    <row r="492" spans="1:75" x14ac:dyDescent="0.55000000000000004">
      <c r="A492">
        <v>1665</v>
      </c>
      <c r="B492">
        <v>14.183</v>
      </c>
      <c r="C492">
        <v>887.56359999999995</v>
      </c>
      <c r="D492" t="s">
        <v>1759</v>
      </c>
      <c r="E492" t="s">
        <v>32</v>
      </c>
      <c r="F492" t="s">
        <v>2</v>
      </c>
      <c r="G492">
        <v>0.31</v>
      </c>
      <c r="H492" t="b">
        <v>1</v>
      </c>
      <c r="I492">
        <v>8.7330000000000005</v>
      </c>
      <c r="J492">
        <v>887.56548999999995</v>
      </c>
      <c r="K492" t="s">
        <v>1760</v>
      </c>
      <c r="L492" t="s">
        <v>1024</v>
      </c>
      <c r="N492" t="s">
        <v>1761</v>
      </c>
      <c r="O492" t="s">
        <v>1770</v>
      </c>
      <c r="P492">
        <v>410</v>
      </c>
      <c r="Q492" t="b">
        <v>0</v>
      </c>
      <c r="R492" t="b">
        <v>1</v>
      </c>
      <c r="S492" t="b">
        <v>1</v>
      </c>
      <c r="T492" t="s">
        <v>7</v>
      </c>
      <c r="U492" t="b">
        <v>0</v>
      </c>
      <c r="V492" t="b">
        <v>0</v>
      </c>
      <c r="W492">
        <v>1665</v>
      </c>
      <c r="X492">
        <v>0</v>
      </c>
      <c r="Y492">
        <v>0</v>
      </c>
      <c r="Z492">
        <v>0.98</v>
      </c>
      <c r="AA492">
        <v>0.182</v>
      </c>
      <c r="AB492">
        <v>0.29299999999999998</v>
      </c>
      <c r="AC492">
        <v>0.77800000000000002</v>
      </c>
      <c r="AD492">
        <v>5</v>
      </c>
      <c r="AE492">
        <v>2</v>
      </c>
      <c r="AF492">
        <v>2.21</v>
      </c>
      <c r="AG492">
        <v>723.68</v>
      </c>
      <c r="AH492" t="s">
        <v>1582</v>
      </c>
      <c r="AI492" t="s">
        <v>1763</v>
      </c>
      <c r="AJ492" t="s">
        <v>1764</v>
      </c>
      <c r="AK492">
        <v>0</v>
      </c>
      <c r="AL492">
        <v>53247</v>
      </c>
      <c r="AM492">
        <v>0</v>
      </c>
      <c r="AN492">
        <v>0</v>
      </c>
      <c r="AO492">
        <v>0</v>
      </c>
      <c r="AP492">
        <v>0</v>
      </c>
      <c r="AQ492">
        <v>0</v>
      </c>
      <c r="AR492">
        <v>0</v>
      </c>
      <c r="AS492">
        <v>0</v>
      </c>
      <c r="AT492">
        <v>0</v>
      </c>
      <c r="AU492">
        <v>272077</v>
      </c>
      <c r="AV492">
        <v>313346</v>
      </c>
      <c r="AW492">
        <v>312681</v>
      </c>
      <c r="AX492">
        <v>0</v>
      </c>
      <c r="AY492">
        <v>53246.8125</v>
      </c>
      <c r="AZ492">
        <v>0</v>
      </c>
      <c r="BA492">
        <v>0</v>
      </c>
      <c r="BB492">
        <v>0</v>
      </c>
      <c r="BC492">
        <v>0</v>
      </c>
      <c r="BD492">
        <v>0</v>
      </c>
      <c r="BE492">
        <v>0</v>
      </c>
      <c r="BF492">
        <v>0</v>
      </c>
      <c r="BG492">
        <v>0</v>
      </c>
      <c r="BH492">
        <v>272077</v>
      </c>
      <c r="BI492">
        <v>313346.25</v>
      </c>
      <c r="BJ492">
        <v>312681.375</v>
      </c>
      <c r="BK492">
        <v>0</v>
      </c>
      <c r="BL492">
        <v>0</v>
      </c>
      <c r="BM492">
        <v>0</v>
      </c>
      <c r="BN492">
        <v>0</v>
      </c>
      <c r="BO492">
        <v>0</v>
      </c>
      <c r="BP492">
        <v>0</v>
      </c>
      <c r="BQ492">
        <v>0</v>
      </c>
      <c r="BR492">
        <v>0</v>
      </c>
      <c r="BS492">
        <v>0</v>
      </c>
      <c r="BT492">
        <v>0</v>
      </c>
      <c r="BU492">
        <v>0</v>
      </c>
      <c r="BV492">
        <v>0</v>
      </c>
      <c r="BW492">
        <v>0</v>
      </c>
    </row>
    <row r="493" spans="1:75" x14ac:dyDescent="0.55000000000000004">
      <c r="A493">
        <v>1666</v>
      </c>
      <c r="B493">
        <v>13.782999999999999</v>
      </c>
      <c r="C493">
        <v>887.56433000000004</v>
      </c>
      <c r="D493" t="s">
        <v>1759</v>
      </c>
      <c r="E493" t="s">
        <v>32</v>
      </c>
      <c r="F493" t="s">
        <v>2</v>
      </c>
      <c r="G493">
        <v>0.31</v>
      </c>
      <c r="H493" t="b">
        <v>1</v>
      </c>
      <c r="I493">
        <v>8.7330000000000005</v>
      </c>
      <c r="J493">
        <v>887.56548999999995</v>
      </c>
      <c r="K493" t="s">
        <v>1760</v>
      </c>
      <c r="L493" t="s">
        <v>1024</v>
      </c>
      <c r="N493" t="s">
        <v>1761</v>
      </c>
      <c r="O493" t="s">
        <v>1776</v>
      </c>
      <c r="P493">
        <v>410</v>
      </c>
      <c r="Q493" t="b">
        <v>0</v>
      </c>
      <c r="R493" t="b">
        <v>1</v>
      </c>
      <c r="S493" t="b">
        <v>1</v>
      </c>
      <c r="T493" t="s">
        <v>7</v>
      </c>
      <c r="U493" t="b">
        <v>0</v>
      </c>
      <c r="V493" t="b">
        <v>0</v>
      </c>
      <c r="W493">
        <v>1666</v>
      </c>
      <c r="X493">
        <v>0</v>
      </c>
      <c r="Y493">
        <v>0</v>
      </c>
      <c r="Z493">
        <v>0.99</v>
      </c>
      <c r="AA493">
        <v>0.65400000000000003</v>
      </c>
      <c r="AB493">
        <v>0.70399999999999996</v>
      </c>
      <c r="AC493">
        <v>0.84099999999999997</v>
      </c>
      <c r="AD493">
        <v>9</v>
      </c>
      <c r="AE493">
        <v>2</v>
      </c>
      <c r="AF493">
        <v>2.4329999999999998</v>
      </c>
      <c r="AG493">
        <v>6708.35</v>
      </c>
      <c r="AH493" t="s">
        <v>1480</v>
      </c>
      <c r="AI493" t="s">
        <v>1765</v>
      </c>
      <c r="AJ493" t="s">
        <v>1766</v>
      </c>
      <c r="AK493">
        <v>0</v>
      </c>
      <c r="AL493">
        <v>507565</v>
      </c>
      <c r="AM493">
        <v>0</v>
      </c>
      <c r="AN493">
        <v>0</v>
      </c>
      <c r="AO493">
        <v>0</v>
      </c>
      <c r="AP493">
        <v>0</v>
      </c>
      <c r="AQ493">
        <v>0</v>
      </c>
      <c r="AR493">
        <v>0</v>
      </c>
      <c r="AS493">
        <v>0</v>
      </c>
      <c r="AT493">
        <v>0</v>
      </c>
      <c r="AU493">
        <v>2275398</v>
      </c>
      <c r="AV493">
        <v>2689421</v>
      </c>
      <c r="AW493">
        <v>2794900</v>
      </c>
      <c r="AX493">
        <v>0</v>
      </c>
      <c r="AY493">
        <v>507565.125</v>
      </c>
      <c r="AZ493">
        <v>0</v>
      </c>
      <c r="BA493">
        <v>0</v>
      </c>
      <c r="BB493">
        <v>0</v>
      </c>
      <c r="BC493">
        <v>0</v>
      </c>
      <c r="BD493">
        <v>0</v>
      </c>
      <c r="BE493">
        <v>0</v>
      </c>
      <c r="BF493">
        <v>0</v>
      </c>
      <c r="BG493">
        <v>0</v>
      </c>
      <c r="BH493">
        <v>2275398.4375</v>
      </c>
      <c r="BI493">
        <v>2689421.375</v>
      </c>
      <c r="BJ493">
        <v>2794899.75</v>
      </c>
      <c r="BK493">
        <v>0</v>
      </c>
      <c r="BL493">
        <v>0</v>
      </c>
      <c r="BM493">
        <v>0</v>
      </c>
      <c r="BN493">
        <v>0</v>
      </c>
      <c r="BO493">
        <v>0</v>
      </c>
      <c r="BP493">
        <v>0</v>
      </c>
      <c r="BQ493">
        <v>0</v>
      </c>
      <c r="BR493">
        <v>0</v>
      </c>
      <c r="BS493">
        <v>0</v>
      </c>
      <c r="BT493">
        <v>0</v>
      </c>
      <c r="BU493">
        <v>0</v>
      </c>
      <c r="BV493">
        <v>0</v>
      </c>
      <c r="BW493">
        <v>0</v>
      </c>
    </row>
    <row r="494" spans="1:75" x14ac:dyDescent="0.55000000000000004">
      <c r="A494">
        <v>1684</v>
      </c>
      <c r="B494">
        <v>14.523</v>
      </c>
      <c r="C494">
        <v>889.57996000000003</v>
      </c>
      <c r="D494" t="s">
        <v>1767</v>
      </c>
      <c r="E494" t="s">
        <v>32</v>
      </c>
      <c r="F494" t="s">
        <v>2</v>
      </c>
      <c r="G494">
        <v>0.31</v>
      </c>
      <c r="H494" t="b">
        <v>1</v>
      </c>
      <c r="I494">
        <v>8.6649999999999991</v>
      </c>
      <c r="J494">
        <v>889.58118000000002</v>
      </c>
      <c r="K494" t="s">
        <v>1768</v>
      </c>
      <c r="L494" t="s">
        <v>1024</v>
      </c>
      <c r="N494" t="s">
        <v>1769</v>
      </c>
      <c r="O494" t="s">
        <v>1781</v>
      </c>
      <c r="P494">
        <v>410</v>
      </c>
      <c r="Q494" t="b">
        <v>0</v>
      </c>
      <c r="R494" t="b">
        <v>1</v>
      </c>
      <c r="S494" t="b">
        <v>1</v>
      </c>
      <c r="T494" t="s">
        <v>7</v>
      </c>
      <c r="U494" t="b">
        <v>0</v>
      </c>
      <c r="V494" t="b">
        <v>0</v>
      </c>
      <c r="W494">
        <v>1684</v>
      </c>
      <c r="X494">
        <v>0</v>
      </c>
      <c r="Y494">
        <v>0</v>
      </c>
      <c r="Z494">
        <v>0.99</v>
      </c>
      <c r="AA494">
        <v>0.45300000000000001</v>
      </c>
      <c r="AB494">
        <v>0.56899999999999995</v>
      </c>
      <c r="AC494">
        <v>0.83499999999999996</v>
      </c>
      <c r="AD494">
        <v>7</v>
      </c>
      <c r="AE494">
        <v>2</v>
      </c>
      <c r="AF494">
        <v>2.3580000000000001</v>
      </c>
      <c r="AG494">
        <v>642</v>
      </c>
      <c r="AH494" t="s">
        <v>1480</v>
      </c>
      <c r="AI494" t="s">
        <v>1771</v>
      </c>
      <c r="AJ494" t="s">
        <v>1772</v>
      </c>
      <c r="AK494">
        <v>0</v>
      </c>
      <c r="AL494">
        <v>33725</v>
      </c>
      <c r="AM494">
        <v>0</v>
      </c>
      <c r="AN494">
        <v>0</v>
      </c>
      <c r="AO494">
        <v>0</v>
      </c>
      <c r="AP494">
        <v>0</v>
      </c>
      <c r="AQ494">
        <v>0</v>
      </c>
      <c r="AR494">
        <v>0</v>
      </c>
      <c r="AS494">
        <v>0</v>
      </c>
      <c r="AT494">
        <v>0</v>
      </c>
      <c r="AU494">
        <v>191048</v>
      </c>
      <c r="AV494">
        <v>216595</v>
      </c>
      <c r="AW494">
        <v>213541</v>
      </c>
      <c r="AX494">
        <v>0</v>
      </c>
      <c r="AY494">
        <v>33725</v>
      </c>
      <c r="AZ494">
        <v>0</v>
      </c>
      <c r="BA494">
        <v>0</v>
      </c>
      <c r="BB494">
        <v>0</v>
      </c>
      <c r="BC494">
        <v>0</v>
      </c>
      <c r="BD494">
        <v>0</v>
      </c>
      <c r="BE494">
        <v>0</v>
      </c>
      <c r="BF494">
        <v>0</v>
      </c>
      <c r="BG494">
        <v>0</v>
      </c>
      <c r="BH494">
        <v>191048.25</v>
      </c>
      <c r="BI494">
        <v>216595</v>
      </c>
      <c r="BJ494">
        <v>213540.875</v>
      </c>
      <c r="BK494">
        <v>0</v>
      </c>
      <c r="BL494">
        <v>0</v>
      </c>
      <c r="BM494">
        <v>0</v>
      </c>
      <c r="BN494">
        <v>0</v>
      </c>
      <c r="BO494">
        <v>0</v>
      </c>
      <c r="BP494">
        <v>0</v>
      </c>
      <c r="BQ494">
        <v>0</v>
      </c>
      <c r="BR494">
        <v>0</v>
      </c>
      <c r="BS494">
        <v>0</v>
      </c>
      <c r="BT494">
        <v>0</v>
      </c>
      <c r="BU494">
        <v>0</v>
      </c>
      <c r="BV494">
        <v>0</v>
      </c>
      <c r="BW494">
        <v>0</v>
      </c>
    </row>
    <row r="495" spans="1:75" x14ac:dyDescent="0.55000000000000004">
      <c r="A495">
        <v>1712</v>
      </c>
      <c r="B495">
        <v>15.315</v>
      </c>
      <c r="C495">
        <v>892.64275999999995</v>
      </c>
      <c r="D495" t="s">
        <v>1773</v>
      </c>
      <c r="E495" t="s">
        <v>1</v>
      </c>
      <c r="F495" t="s">
        <v>2</v>
      </c>
      <c r="G495">
        <v>0.31</v>
      </c>
      <c r="H495" t="b">
        <v>1</v>
      </c>
      <c r="I495">
        <v>11.132999999999999</v>
      </c>
      <c r="J495">
        <v>892.64368000000002</v>
      </c>
      <c r="K495" t="s">
        <v>1774</v>
      </c>
      <c r="L495" t="s">
        <v>329</v>
      </c>
      <c r="N495" t="s">
        <v>1775</v>
      </c>
      <c r="O495" t="s">
        <v>1787</v>
      </c>
      <c r="P495">
        <v>410</v>
      </c>
      <c r="Q495" t="b">
        <v>0</v>
      </c>
      <c r="R495" t="b">
        <v>1</v>
      </c>
      <c r="S495" t="b">
        <v>1</v>
      </c>
      <c r="T495" t="s">
        <v>7</v>
      </c>
      <c r="U495" t="b">
        <v>0</v>
      </c>
      <c r="V495" t="b">
        <v>0</v>
      </c>
      <c r="W495">
        <v>1712</v>
      </c>
      <c r="X495">
        <v>0</v>
      </c>
      <c r="Y495">
        <v>0</v>
      </c>
      <c r="Z495">
        <v>0.99</v>
      </c>
      <c r="AA495">
        <v>0.72499999999999998</v>
      </c>
      <c r="AB495">
        <v>0.85899999999999999</v>
      </c>
      <c r="AC495">
        <v>0.88300000000000001</v>
      </c>
      <c r="AD495">
        <v>5</v>
      </c>
      <c r="AE495">
        <v>2</v>
      </c>
      <c r="AF495">
        <v>2.5009999999999999</v>
      </c>
      <c r="AG495">
        <v>1311.25</v>
      </c>
      <c r="AH495" t="s">
        <v>1480</v>
      </c>
      <c r="AI495" t="s">
        <v>1777</v>
      </c>
      <c r="AJ495" t="s">
        <v>1778</v>
      </c>
      <c r="AK495">
        <v>0</v>
      </c>
      <c r="AL495">
        <v>69636</v>
      </c>
      <c r="AM495">
        <v>0</v>
      </c>
      <c r="AN495">
        <v>0</v>
      </c>
      <c r="AO495">
        <v>0</v>
      </c>
      <c r="AP495">
        <v>0</v>
      </c>
      <c r="AQ495">
        <v>0</v>
      </c>
      <c r="AR495">
        <v>0</v>
      </c>
      <c r="AS495">
        <v>0</v>
      </c>
      <c r="AT495">
        <v>0</v>
      </c>
      <c r="AU495">
        <v>407789</v>
      </c>
      <c r="AV495">
        <v>468461</v>
      </c>
      <c r="AW495">
        <v>473160</v>
      </c>
      <c r="AX495">
        <v>0</v>
      </c>
      <c r="AY495">
        <v>69636.25</v>
      </c>
      <c r="AZ495">
        <v>0</v>
      </c>
      <c r="BA495">
        <v>0</v>
      </c>
      <c r="BB495">
        <v>0</v>
      </c>
      <c r="BC495">
        <v>0</v>
      </c>
      <c r="BD495">
        <v>0</v>
      </c>
      <c r="BE495">
        <v>0</v>
      </c>
      <c r="BF495">
        <v>0</v>
      </c>
      <c r="BG495">
        <v>0</v>
      </c>
      <c r="BH495">
        <v>407788.5625</v>
      </c>
      <c r="BI495">
        <v>468461.3125</v>
      </c>
      <c r="BJ495">
        <v>473159.625</v>
      </c>
      <c r="BK495">
        <v>0</v>
      </c>
      <c r="BL495">
        <v>0</v>
      </c>
      <c r="BM495">
        <v>0</v>
      </c>
      <c r="BN495">
        <v>0</v>
      </c>
      <c r="BO495">
        <v>0</v>
      </c>
      <c r="BP495">
        <v>0</v>
      </c>
      <c r="BQ495">
        <v>0</v>
      </c>
      <c r="BR495">
        <v>0</v>
      </c>
      <c r="BS495">
        <v>0</v>
      </c>
      <c r="BT495">
        <v>0</v>
      </c>
      <c r="BU495">
        <v>0</v>
      </c>
      <c r="BV495">
        <v>0</v>
      </c>
      <c r="BW495">
        <v>0</v>
      </c>
    </row>
    <row r="496" spans="1:75" x14ac:dyDescent="0.55000000000000004">
      <c r="A496">
        <v>1713</v>
      </c>
      <c r="B496">
        <v>16.001000000000001</v>
      </c>
      <c r="C496">
        <v>892.64324999999997</v>
      </c>
      <c r="D496" t="s">
        <v>1779</v>
      </c>
      <c r="E496" t="s">
        <v>1</v>
      </c>
      <c r="F496" t="s">
        <v>2</v>
      </c>
      <c r="G496">
        <v>0.31</v>
      </c>
      <c r="H496" t="b">
        <v>1</v>
      </c>
      <c r="I496">
        <v>11.608000000000001</v>
      </c>
      <c r="J496">
        <v>892.64368000000002</v>
      </c>
      <c r="K496" t="s">
        <v>1774</v>
      </c>
      <c r="L496" t="s">
        <v>329</v>
      </c>
      <c r="N496" t="s">
        <v>1780</v>
      </c>
      <c r="O496" t="s">
        <v>1793</v>
      </c>
      <c r="P496">
        <v>410</v>
      </c>
      <c r="Q496" t="b">
        <v>0</v>
      </c>
      <c r="R496" t="b">
        <v>1</v>
      </c>
      <c r="S496" t="b">
        <v>1</v>
      </c>
      <c r="T496" t="s">
        <v>7</v>
      </c>
      <c r="U496" t="b">
        <v>0</v>
      </c>
      <c r="V496" t="b">
        <v>0</v>
      </c>
      <c r="W496">
        <v>1713</v>
      </c>
      <c r="X496">
        <v>0</v>
      </c>
      <c r="Y496">
        <v>0</v>
      </c>
      <c r="Z496">
        <v>1</v>
      </c>
      <c r="AA496">
        <v>0.39300000000000002</v>
      </c>
      <c r="AB496">
        <v>0.59199999999999997</v>
      </c>
      <c r="AC496">
        <v>0.85499999999999998</v>
      </c>
      <c r="AD496">
        <v>3</v>
      </c>
      <c r="AE496">
        <v>2</v>
      </c>
      <c r="AF496">
        <v>2.363</v>
      </c>
      <c r="AG496">
        <v>684.74</v>
      </c>
      <c r="AH496" t="s">
        <v>1480</v>
      </c>
      <c r="AI496" t="s">
        <v>1782</v>
      </c>
      <c r="AJ496" t="s">
        <v>1783</v>
      </c>
      <c r="AK496">
        <v>0</v>
      </c>
      <c r="AL496">
        <v>32644</v>
      </c>
      <c r="AM496">
        <v>0</v>
      </c>
      <c r="AN496">
        <v>0</v>
      </c>
      <c r="AO496">
        <v>0</v>
      </c>
      <c r="AP496">
        <v>0</v>
      </c>
      <c r="AQ496">
        <v>0</v>
      </c>
      <c r="AR496">
        <v>0</v>
      </c>
      <c r="AS496">
        <v>0</v>
      </c>
      <c r="AT496">
        <v>0</v>
      </c>
      <c r="AU496">
        <v>214310</v>
      </c>
      <c r="AV496">
        <v>243946</v>
      </c>
      <c r="AW496">
        <v>247388</v>
      </c>
      <c r="AX496">
        <v>0</v>
      </c>
      <c r="AY496">
        <v>32644.5</v>
      </c>
      <c r="AZ496">
        <v>0</v>
      </c>
      <c r="BA496">
        <v>0</v>
      </c>
      <c r="BB496">
        <v>0</v>
      </c>
      <c r="BC496">
        <v>0</v>
      </c>
      <c r="BD496">
        <v>0</v>
      </c>
      <c r="BE496">
        <v>0</v>
      </c>
      <c r="BF496">
        <v>0</v>
      </c>
      <c r="BG496">
        <v>0</v>
      </c>
      <c r="BH496">
        <v>214310.375</v>
      </c>
      <c r="BI496">
        <v>243945.6875</v>
      </c>
      <c r="BJ496">
        <v>247387.75</v>
      </c>
      <c r="BK496">
        <v>0</v>
      </c>
      <c r="BL496">
        <v>0</v>
      </c>
      <c r="BM496">
        <v>0</v>
      </c>
      <c r="BN496">
        <v>0</v>
      </c>
      <c r="BO496">
        <v>0</v>
      </c>
      <c r="BP496">
        <v>0</v>
      </c>
      <c r="BQ496">
        <v>0</v>
      </c>
      <c r="BR496">
        <v>0</v>
      </c>
      <c r="BS496">
        <v>0</v>
      </c>
      <c r="BT496">
        <v>0</v>
      </c>
      <c r="BU496">
        <v>0</v>
      </c>
      <c r="BV496">
        <v>0</v>
      </c>
      <c r="BW496">
        <v>0</v>
      </c>
    </row>
    <row r="497" spans="1:75" x14ac:dyDescent="0.55000000000000004">
      <c r="A497">
        <v>1746</v>
      </c>
      <c r="B497">
        <v>16.169</v>
      </c>
      <c r="C497">
        <v>894.65839000000005</v>
      </c>
      <c r="D497" t="s">
        <v>1784</v>
      </c>
      <c r="E497" t="s">
        <v>1</v>
      </c>
      <c r="F497" t="s">
        <v>2</v>
      </c>
      <c r="G497">
        <v>0.31</v>
      </c>
      <c r="H497" t="b">
        <v>1</v>
      </c>
      <c r="I497">
        <v>12.3</v>
      </c>
      <c r="J497">
        <v>894.65930000000003</v>
      </c>
      <c r="K497" t="s">
        <v>1785</v>
      </c>
      <c r="L497" t="s">
        <v>329</v>
      </c>
      <c r="N497" t="s">
        <v>1786</v>
      </c>
      <c r="O497" t="s">
        <v>1798</v>
      </c>
      <c r="P497">
        <v>410</v>
      </c>
      <c r="Q497" t="b">
        <v>0</v>
      </c>
      <c r="R497" t="b">
        <v>1</v>
      </c>
      <c r="S497" t="b">
        <v>1</v>
      </c>
      <c r="T497" t="s">
        <v>7</v>
      </c>
      <c r="U497" t="b">
        <v>0</v>
      </c>
      <c r="V497" t="b">
        <v>0</v>
      </c>
      <c r="W497">
        <v>1746</v>
      </c>
      <c r="X497">
        <v>0</v>
      </c>
      <c r="Y497">
        <v>0</v>
      </c>
      <c r="Z497">
        <v>1</v>
      </c>
      <c r="AA497">
        <v>0.54500000000000004</v>
      </c>
      <c r="AB497">
        <v>0.69099999999999995</v>
      </c>
      <c r="AC497">
        <v>0.85599999999999998</v>
      </c>
      <c r="AD497">
        <v>4</v>
      </c>
      <c r="AE497">
        <v>2</v>
      </c>
      <c r="AF497">
        <v>2.4159999999999999</v>
      </c>
      <c r="AG497">
        <v>2174.9699999999998</v>
      </c>
      <c r="AH497" t="s">
        <v>1459</v>
      </c>
      <c r="AI497" t="s">
        <v>1788</v>
      </c>
      <c r="AJ497" t="s">
        <v>1789</v>
      </c>
      <c r="AK497">
        <v>0</v>
      </c>
      <c r="AL497">
        <v>131118</v>
      </c>
      <c r="AM497">
        <v>0</v>
      </c>
      <c r="AN497">
        <v>0</v>
      </c>
      <c r="AO497">
        <v>0</v>
      </c>
      <c r="AP497">
        <v>0</v>
      </c>
      <c r="AQ497">
        <v>0</v>
      </c>
      <c r="AR497">
        <v>0</v>
      </c>
      <c r="AS497">
        <v>0</v>
      </c>
      <c r="AT497">
        <v>0</v>
      </c>
      <c r="AU497">
        <v>852384</v>
      </c>
      <c r="AV497">
        <v>978679</v>
      </c>
      <c r="AW497">
        <v>1011488</v>
      </c>
      <c r="AX497">
        <v>0</v>
      </c>
      <c r="AY497">
        <v>131118.4375</v>
      </c>
      <c r="AZ497">
        <v>0</v>
      </c>
      <c r="BA497">
        <v>0</v>
      </c>
      <c r="BB497">
        <v>0</v>
      </c>
      <c r="BC497">
        <v>0</v>
      </c>
      <c r="BD497">
        <v>0</v>
      </c>
      <c r="BE497">
        <v>0</v>
      </c>
      <c r="BF497">
        <v>0</v>
      </c>
      <c r="BG497">
        <v>0</v>
      </c>
      <c r="BH497">
        <v>852384.125</v>
      </c>
      <c r="BI497">
        <v>978678.8125</v>
      </c>
      <c r="BJ497">
        <v>1011487.5</v>
      </c>
      <c r="BK497">
        <v>0</v>
      </c>
      <c r="BL497">
        <v>0</v>
      </c>
      <c r="BM497">
        <v>0</v>
      </c>
      <c r="BN497">
        <v>0</v>
      </c>
      <c r="BO497">
        <v>0</v>
      </c>
      <c r="BP497">
        <v>0</v>
      </c>
      <c r="BQ497">
        <v>0</v>
      </c>
      <c r="BR497">
        <v>0</v>
      </c>
      <c r="BS497">
        <v>0</v>
      </c>
      <c r="BT497">
        <v>0</v>
      </c>
      <c r="BU497">
        <v>0</v>
      </c>
      <c r="BV497">
        <v>0</v>
      </c>
      <c r="BW497">
        <v>0</v>
      </c>
    </row>
    <row r="498" spans="1:75" x14ac:dyDescent="0.55000000000000004">
      <c r="A498">
        <v>1764</v>
      </c>
      <c r="B498">
        <v>16.407</v>
      </c>
      <c r="C498">
        <v>896.67426</v>
      </c>
      <c r="D498" t="s">
        <v>1790</v>
      </c>
      <c r="E498" t="s">
        <v>1</v>
      </c>
      <c r="F498" t="s">
        <v>2</v>
      </c>
      <c r="G498">
        <v>0.23</v>
      </c>
      <c r="H498" t="b">
        <v>1</v>
      </c>
      <c r="I498">
        <v>12.61</v>
      </c>
      <c r="J498">
        <v>896.67498999999998</v>
      </c>
      <c r="K498" t="s">
        <v>1791</v>
      </c>
      <c r="L498" t="s">
        <v>329</v>
      </c>
      <c r="N498" t="s">
        <v>1792</v>
      </c>
      <c r="O498" t="s">
        <v>1804</v>
      </c>
      <c r="P498">
        <v>410</v>
      </c>
      <c r="Q498" t="b">
        <v>0</v>
      </c>
      <c r="R498" t="b">
        <v>1</v>
      </c>
      <c r="S498" t="b">
        <v>1</v>
      </c>
      <c r="T498" t="s">
        <v>7</v>
      </c>
      <c r="U498" t="b">
        <v>0</v>
      </c>
      <c r="V498" t="b">
        <v>0</v>
      </c>
      <c r="W498">
        <v>1764</v>
      </c>
      <c r="X498">
        <v>0</v>
      </c>
      <c r="Y498">
        <v>0</v>
      </c>
      <c r="Z498">
        <v>1</v>
      </c>
      <c r="AA498">
        <v>0.65500000000000003</v>
      </c>
      <c r="AB498">
        <v>0.74199999999999999</v>
      </c>
      <c r="AC498">
        <v>0.89400000000000002</v>
      </c>
      <c r="AD498">
        <v>5</v>
      </c>
      <c r="AE498">
        <v>2</v>
      </c>
      <c r="AF498">
        <v>2.468</v>
      </c>
      <c r="AG498">
        <v>386.38</v>
      </c>
      <c r="AH498" t="s">
        <v>1480</v>
      </c>
      <c r="AI498" t="s">
        <v>1794</v>
      </c>
      <c r="AJ498" t="s">
        <v>1795</v>
      </c>
      <c r="AK498">
        <v>0</v>
      </c>
      <c r="AL498">
        <v>23230</v>
      </c>
      <c r="AM498">
        <v>0</v>
      </c>
      <c r="AN498">
        <v>0</v>
      </c>
      <c r="AO498">
        <v>0</v>
      </c>
      <c r="AP498">
        <v>0</v>
      </c>
      <c r="AQ498">
        <v>0</v>
      </c>
      <c r="AR498">
        <v>0</v>
      </c>
      <c r="AS498">
        <v>0</v>
      </c>
      <c r="AT498">
        <v>0</v>
      </c>
      <c r="AU498">
        <v>150043</v>
      </c>
      <c r="AV498">
        <v>169044</v>
      </c>
      <c r="AW498">
        <v>176358</v>
      </c>
      <c r="AX498">
        <v>0</v>
      </c>
      <c r="AY498">
        <v>23229.5</v>
      </c>
      <c r="AZ498">
        <v>0</v>
      </c>
      <c r="BA498">
        <v>0</v>
      </c>
      <c r="BB498">
        <v>0</v>
      </c>
      <c r="BC498">
        <v>0</v>
      </c>
      <c r="BD498">
        <v>0</v>
      </c>
      <c r="BE498">
        <v>0</v>
      </c>
      <c r="BF498">
        <v>0</v>
      </c>
      <c r="BG498">
        <v>0</v>
      </c>
      <c r="BH498">
        <v>150043.4375</v>
      </c>
      <c r="BI498">
        <v>169044.125</v>
      </c>
      <c r="BJ498">
        <v>176358.1875</v>
      </c>
      <c r="BK498">
        <v>0</v>
      </c>
      <c r="BL498">
        <v>0</v>
      </c>
      <c r="BM498">
        <v>0</v>
      </c>
      <c r="BN498">
        <v>0</v>
      </c>
      <c r="BO498">
        <v>0</v>
      </c>
      <c r="BP498">
        <v>0</v>
      </c>
      <c r="BQ498">
        <v>0</v>
      </c>
      <c r="BR498">
        <v>0</v>
      </c>
      <c r="BS498">
        <v>0</v>
      </c>
      <c r="BT498">
        <v>0</v>
      </c>
      <c r="BU498">
        <v>0</v>
      </c>
      <c r="BV498">
        <v>0</v>
      </c>
      <c r="BW498">
        <v>0</v>
      </c>
    </row>
    <row r="499" spans="1:75" x14ac:dyDescent="0.55000000000000004">
      <c r="A499">
        <v>1766</v>
      </c>
      <c r="B499">
        <v>17.067</v>
      </c>
      <c r="C499">
        <v>896.67542000000003</v>
      </c>
      <c r="D499" t="s">
        <v>1796</v>
      </c>
      <c r="E499" t="s">
        <v>1</v>
      </c>
      <c r="F499" t="s">
        <v>2</v>
      </c>
      <c r="G499">
        <v>0.31</v>
      </c>
      <c r="H499" t="b">
        <v>1</v>
      </c>
      <c r="I499">
        <v>13.067</v>
      </c>
      <c r="J499">
        <v>896.67498999999998</v>
      </c>
      <c r="K499" t="s">
        <v>1791</v>
      </c>
      <c r="L499" t="s">
        <v>329</v>
      </c>
      <c r="N499" t="s">
        <v>1797</v>
      </c>
      <c r="O499" t="s">
        <v>1810</v>
      </c>
      <c r="P499">
        <v>410</v>
      </c>
      <c r="Q499" t="b">
        <v>0</v>
      </c>
      <c r="R499" t="b">
        <v>1</v>
      </c>
      <c r="S499" t="b">
        <v>1</v>
      </c>
      <c r="T499" t="s">
        <v>7</v>
      </c>
      <c r="U499" t="b">
        <v>0</v>
      </c>
      <c r="V499" t="b">
        <v>0</v>
      </c>
      <c r="W499">
        <v>1766</v>
      </c>
      <c r="X499">
        <v>0</v>
      </c>
      <c r="Y499">
        <v>0</v>
      </c>
      <c r="Z499">
        <v>1</v>
      </c>
      <c r="AA499">
        <v>0.74199999999999999</v>
      </c>
      <c r="AB499">
        <v>0.82899999999999996</v>
      </c>
      <c r="AC499">
        <v>0.90300000000000002</v>
      </c>
      <c r="AD499">
        <v>5</v>
      </c>
      <c r="AE499">
        <v>2</v>
      </c>
      <c r="AF499">
        <v>2.5089999999999999</v>
      </c>
      <c r="AG499">
        <v>1013.8</v>
      </c>
      <c r="AH499" t="s">
        <v>1480</v>
      </c>
      <c r="AI499" t="s">
        <v>1799</v>
      </c>
      <c r="AJ499" t="s">
        <v>1800</v>
      </c>
      <c r="AK499">
        <v>0</v>
      </c>
      <c r="AL499">
        <v>64354</v>
      </c>
      <c r="AM499">
        <v>0</v>
      </c>
      <c r="AN499">
        <v>0</v>
      </c>
      <c r="AO499">
        <v>0</v>
      </c>
      <c r="AP499">
        <v>0</v>
      </c>
      <c r="AQ499">
        <v>0</v>
      </c>
      <c r="AR499">
        <v>0</v>
      </c>
      <c r="AS499">
        <v>0</v>
      </c>
      <c r="AT499">
        <v>0</v>
      </c>
      <c r="AU499">
        <v>405251</v>
      </c>
      <c r="AV499">
        <v>464725</v>
      </c>
      <c r="AW499">
        <v>477457</v>
      </c>
      <c r="AX499">
        <v>0</v>
      </c>
      <c r="AY499">
        <v>64354.5</v>
      </c>
      <c r="AZ499">
        <v>0</v>
      </c>
      <c r="BA499">
        <v>0</v>
      </c>
      <c r="BB499">
        <v>0</v>
      </c>
      <c r="BC499">
        <v>0</v>
      </c>
      <c r="BD499">
        <v>0</v>
      </c>
      <c r="BE499">
        <v>0</v>
      </c>
      <c r="BF499">
        <v>0</v>
      </c>
      <c r="BG499">
        <v>0</v>
      </c>
      <c r="BH499">
        <v>405251</v>
      </c>
      <c r="BI499">
        <v>464725.3125</v>
      </c>
      <c r="BJ499">
        <v>477456.875</v>
      </c>
      <c r="BK499">
        <v>0</v>
      </c>
      <c r="BL499">
        <v>0</v>
      </c>
      <c r="BM499">
        <v>0</v>
      </c>
      <c r="BN499">
        <v>0</v>
      </c>
      <c r="BO499">
        <v>0</v>
      </c>
      <c r="BP499">
        <v>0</v>
      </c>
      <c r="BQ499">
        <v>0</v>
      </c>
      <c r="BR499">
        <v>0</v>
      </c>
      <c r="BS499">
        <v>0</v>
      </c>
      <c r="BT499">
        <v>0</v>
      </c>
      <c r="BU499">
        <v>0</v>
      </c>
      <c r="BV499">
        <v>0</v>
      </c>
      <c r="BW499">
        <v>0</v>
      </c>
    </row>
    <row r="500" spans="1:75" x14ac:dyDescent="0.55000000000000004">
      <c r="A500">
        <v>1776</v>
      </c>
      <c r="B500">
        <v>11.385999999999999</v>
      </c>
      <c r="C500">
        <v>898.56079</v>
      </c>
      <c r="D500" t="s">
        <v>1801</v>
      </c>
      <c r="E500" t="s">
        <v>1</v>
      </c>
      <c r="F500" t="s">
        <v>2</v>
      </c>
      <c r="G500">
        <v>0.15</v>
      </c>
      <c r="H500" t="b">
        <v>1</v>
      </c>
      <c r="I500">
        <v>8.7910000000000004</v>
      </c>
      <c r="J500">
        <v>898.56042000000002</v>
      </c>
      <c r="K500" t="s">
        <v>1802</v>
      </c>
      <c r="L500" t="s">
        <v>660</v>
      </c>
      <c r="N500" t="s">
        <v>1803</v>
      </c>
      <c r="O500" t="s">
        <v>1816</v>
      </c>
      <c r="P500">
        <v>410</v>
      </c>
      <c r="Q500" t="b">
        <v>0</v>
      </c>
      <c r="R500" t="b">
        <v>1</v>
      </c>
      <c r="S500" t="b">
        <v>1</v>
      </c>
      <c r="T500" t="s">
        <v>7</v>
      </c>
      <c r="U500" t="b">
        <v>0</v>
      </c>
      <c r="V500" t="b">
        <v>0</v>
      </c>
      <c r="W500">
        <v>1776</v>
      </c>
      <c r="X500">
        <v>0</v>
      </c>
      <c r="Y500">
        <v>0</v>
      </c>
      <c r="Z500">
        <v>1</v>
      </c>
      <c r="AA500">
        <v>0.48</v>
      </c>
      <c r="AB500">
        <v>0.59699999999999998</v>
      </c>
      <c r="AC500">
        <v>0.78400000000000003</v>
      </c>
      <c r="AD500">
        <v>4</v>
      </c>
      <c r="AE500">
        <v>2</v>
      </c>
      <c r="AF500">
        <v>2.3519999999999999</v>
      </c>
      <c r="AG500">
        <v>197.29</v>
      </c>
      <c r="AH500" t="s">
        <v>1480</v>
      </c>
      <c r="AI500" t="s">
        <v>1805</v>
      </c>
      <c r="AJ500" t="s">
        <v>1806</v>
      </c>
      <c r="AK500">
        <v>0</v>
      </c>
      <c r="AL500">
        <v>10125</v>
      </c>
      <c r="AM500">
        <v>0</v>
      </c>
      <c r="AN500">
        <v>0</v>
      </c>
      <c r="AO500">
        <v>0</v>
      </c>
      <c r="AP500">
        <v>0</v>
      </c>
      <c r="AQ500">
        <v>0</v>
      </c>
      <c r="AR500">
        <v>0</v>
      </c>
      <c r="AS500">
        <v>0</v>
      </c>
      <c r="AT500">
        <v>0</v>
      </c>
      <c r="AU500">
        <v>66821</v>
      </c>
      <c r="AV500">
        <v>80260</v>
      </c>
      <c r="AW500">
        <v>10132</v>
      </c>
      <c r="AX500">
        <v>0</v>
      </c>
      <c r="AY500">
        <v>10125.25</v>
      </c>
      <c r="AZ500">
        <v>0</v>
      </c>
      <c r="BA500">
        <v>0</v>
      </c>
      <c r="BB500">
        <v>0</v>
      </c>
      <c r="BC500">
        <v>0</v>
      </c>
      <c r="BD500">
        <v>0</v>
      </c>
      <c r="BE500">
        <v>0</v>
      </c>
      <c r="BF500">
        <v>0</v>
      </c>
      <c r="BG500">
        <v>0</v>
      </c>
      <c r="BH500">
        <v>66820.5625</v>
      </c>
      <c r="BI500">
        <v>80260.125</v>
      </c>
      <c r="BJ500">
        <v>10132</v>
      </c>
      <c r="BK500">
        <v>0</v>
      </c>
      <c r="BL500">
        <v>0</v>
      </c>
      <c r="BM500">
        <v>0</v>
      </c>
      <c r="BN500">
        <v>0</v>
      </c>
      <c r="BO500">
        <v>0</v>
      </c>
      <c r="BP500">
        <v>0</v>
      </c>
      <c r="BQ500">
        <v>0</v>
      </c>
      <c r="BR500">
        <v>0</v>
      </c>
      <c r="BS500">
        <v>0</v>
      </c>
      <c r="BT500">
        <v>0</v>
      </c>
      <c r="BU500">
        <v>0</v>
      </c>
      <c r="BV500">
        <v>0</v>
      </c>
      <c r="BW500">
        <v>0</v>
      </c>
    </row>
    <row r="501" spans="1:75" x14ac:dyDescent="0.55000000000000004">
      <c r="A501">
        <v>1779</v>
      </c>
      <c r="B501">
        <v>17.145</v>
      </c>
      <c r="C501">
        <v>898.69030999999995</v>
      </c>
      <c r="D501" t="s">
        <v>1807</v>
      </c>
      <c r="E501" t="s">
        <v>1</v>
      </c>
      <c r="F501" t="s">
        <v>2</v>
      </c>
      <c r="G501">
        <v>0.31</v>
      </c>
      <c r="H501" t="b">
        <v>1</v>
      </c>
      <c r="I501">
        <v>12.974</v>
      </c>
      <c r="J501">
        <v>898.69060999999999</v>
      </c>
      <c r="K501" t="s">
        <v>1808</v>
      </c>
      <c r="L501" t="s">
        <v>329</v>
      </c>
      <c r="N501" t="s">
        <v>1809</v>
      </c>
      <c r="O501" t="s">
        <v>1822</v>
      </c>
      <c r="P501">
        <v>410</v>
      </c>
      <c r="Q501" t="b">
        <v>0</v>
      </c>
      <c r="R501" t="b">
        <v>1</v>
      </c>
      <c r="S501" t="b">
        <v>1</v>
      </c>
      <c r="T501" t="s">
        <v>7</v>
      </c>
      <c r="U501" t="b">
        <v>0</v>
      </c>
      <c r="V501" t="b">
        <v>0</v>
      </c>
      <c r="W501">
        <v>1779</v>
      </c>
      <c r="X501">
        <v>0</v>
      </c>
      <c r="Y501">
        <v>0</v>
      </c>
      <c r="Z501">
        <v>1</v>
      </c>
      <c r="AA501">
        <v>0.64600000000000002</v>
      </c>
      <c r="AB501">
        <v>0.77300000000000002</v>
      </c>
      <c r="AC501">
        <v>0.89800000000000002</v>
      </c>
      <c r="AD501">
        <v>5</v>
      </c>
      <c r="AE501">
        <v>2</v>
      </c>
      <c r="AF501">
        <v>2.4729999999999999</v>
      </c>
      <c r="AG501">
        <v>491.16</v>
      </c>
      <c r="AH501" t="s">
        <v>1480</v>
      </c>
      <c r="AI501" t="s">
        <v>1811</v>
      </c>
      <c r="AJ501" t="s">
        <v>1812</v>
      </c>
      <c r="AK501">
        <v>0</v>
      </c>
      <c r="AL501">
        <v>38156</v>
      </c>
      <c r="AM501">
        <v>0</v>
      </c>
      <c r="AN501">
        <v>0</v>
      </c>
      <c r="AO501">
        <v>0</v>
      </c>
      <c r="AP501">
        <v>0</v>
      </c>
      <c r="AQ501">
        <v>0</v>
      </c>
      <c r="AR501">
        <v>0</v>
      </c>
      <c r="AS501">
        <v>0</v>
      </c>
      <c r="AT501">
        <v>0</v>
      </c>
      <c r="AU501">
        <v>231426</v>
      </c>
      <c r="AV501">
        <v>266450</v>
      </c>
      <c r="AW501">
        <v>274452</v>
      </c>
      <c r="AX501">
        <v>0</v>
      </c>
      <c r="AY501">
        <v>38156.0625</v>
      </c>
      <c r="AZ501">
        <v>0</v>
      </c>
      <c r="BA501">
        <v>0</v>
      </c>
      <c r="BB501">
        <v>0</v>
      </c>
      <c r="BC501">
        <v>0</v>
      </c>
      <c r="BD501">
        <v>0</v>
      </c>
      <c r="BE501">
        <v>0</v>
      </c>
      <c r="BF501">
        <v>0</v>
      </c>
      <c r="BG501">
        <v>0</v>
      </c>
      <c r="BH501">
        <v>231426.25</v>
      </c>
      <c r="BI501">
        <v>266450.0625</v>
      </c>
      <c r="BJ501">
        <v>274451.8125</v>
      </c>
      <c r="BK501">
        <v>0</v>
      </c>
      <c r="BL501">
        <v>0</v>
      </c>
      <c r="BM501">
        <v>0</v>
      </c>
      <c r="BN501">
        <v>0</v>
      </c>
      <c r="BO501">
        <v>0</v>
      </c>
      <c r="BP501">
        <v>0</v>
      </c>
      <c r="BQ501">
        <v>0</v>
      </c>
      <c r="BR501">
        <v>0</v>
      </c>
      <c r="BS501">
        <v>0</v>
      </c>
      <c r="BT501">
        <v>0</v>
      </c>
      <c r="BU501">
        <v>0</v>
      </c>
      <c r="BV501">
        <v>0</v>
      </c>
      <c r="BW501">
        <v>0</v>
      </c>
    </row>
    <row r="502" spans="1:75" x14ac:dyDescent="0.55000000000000004">
      <c r="A502">
        <v>1788</v>
      </c>
      <c r="B502">
        <v>17.765000000000001</v>
      </c>
      <c r="C502">
        <v>900.70599000000004</v>
      </c>
      <c r="D502" t="s">
        <v>1813</v>
      </c>
      <c r="E502" t="s">
        <v>1</v>
      </c>
      <c r="F502" t="s">
        <v>2</v>
      </c>
      <c r="G502">
        <v>0.23</v>
      </c>
      <c r="H502" t="b">
        <v>1</v>
      </c>
      <c r="I502">
        <v>13.163</v>
      </c>
      <c r="J502">
        <v>900.70630000000006</v>
      </c>
      <c r="K502" t="s">
        <v>1814</v>
      </c>
      <c r="L502" t="s">
        <v>329</v>
      </c>
      <c r="N502" t="s">
        <v>1815</v>
      </c>
      <c r="O502" t="s">
        <v>1828</v>
      </c>
      <c r="P502">
        <v>410</v>
      </c>
      <c r="Q502" t="b">
        <v>0</v>
      </c>
      <c r="R502" t="b">
        <v>1</v>
      </c>
      <c r="S502" t="b">
        <v>1</v>
      </c>
      <c r="T502" t="s">
        <v>7</v>
      </c>
      <c r="U502" t="b">
        <v>0</v>
      </c>
      <c r="V502" t="b">
        <v>0</v>
      </c>
      <c r="W502">
        <v>1788</v>
      </c>
      <c r="X502">
        <v>0</v>
      </c>
      <c r="Y502">
        <v>0</v>
      </c>
      <c r="Z502">
        <v>1</v>
      </c>
      <c r="AA502">
        <v>0.38900000000000001</v>
      </c>
      <c r="AB502">
        <v>0.52300000000000002</v>
      </c>
      <c r="AC502">
        <v>0.78500000000000003</v>
      </c>
      <c r="AD502">
        <v>3</v>
      </c>
      <c r="AE502">
        <v>2</v>
      </c>
      <c r="AF502">
        <v>2.3170000000000002</v>
      </c>
      <c r="AG502">
        <v>183.16</v>
      </c>
      <c r="AH502" t="s">
        <v>1480</v>
      </c>
      <c r="AI502" t="s">
        <v>1817</v>
      </c>
      <c r="AJ502" t="s">
        <v>1818</v>
      </c>
      <c r="AK502">
        <v>0</v>
      </c>
      <c r="AL502">
        <v>9924</v>
      </c>
      <c r="AM502">
        <v>0</v>
      </c>
      <c r="AN502">
        <v>0</v>
      </c>
      <c r="AO502">
        <v>0</v>
      </c>
      <c r="AP502">
        <v>0</v>
      </c>
      <c r="AQ502">
        <v>0</v>
      </c>
      <c r="AR502">
        <v>0</v>
      </c>
      <c r="AS502">
        <v>0</v>
      </c>
      <c r="AT502">
        <v>0</v>
      </c>
      <c r="AU502">
        <v>64085</v>
      </c>
      <c r="AV502">
        <v>73651</v>
      </c>
      <c r="AW502">
        <v>76494</v>
      </c>
      <c r="AX502">
        <v>0</v>
      </c>
      <c r="AY502">
        <v>9923.6875</v>
      </c>
      <c r="AZ502">
        <v>0</v>
      </c>
      <c r="BA502">
        <v>0</v>
      </c>
      <c r="BB502">
        <v>0</v>
      </c>
      <c r="BC502">
        <v>0</v>
      </c>
      <c r="BD502">
        <v>0</v>
      </c>
      <c r="BE502">
        <v>0</v>
      </c>
      <c r="BF502">
        <v>0</v>
      </c>
      <c r="BG502">
        <v>0</v>
      </c>
      <c r="BH502">
        <v>64084.6875</v>
      </c>
      <c r="BI502">
        <v>73651.375</v>
      </c>
      <c r="BJ502">
        <v>76493.8125</v>
      </c>
      <c r="BK502">
        <v>0</v>
      </c>
      <c r="BL502">
        <v>0</v>
      </c>
      <c r="BM502">
        <v>0</v>
      </c>
      <c r="BN502">
        <v>0</v>
      </c>
      <c r="BO502">
        <v>0</v>
      </c>
      <c r="BP502">
        <v>0</v>
      </c>
      <c r="BQ502">
        <v>0</v>
      </c>
      <c r="BR502">
        <v>0</v>
      </c>
      <c r="BS502">
        <v>0</v>
      </c>
      <c r="BT502">
        <v>0</v>
      </c>
      <c r="BU502">
        <v>0</v>
      </c>
      <c r="BV502">
        <v>0</v>
      </c>
      <c r="BW502">
        <v>0</v>
      </c>
    </row>
    <row r="503" spans="1:75" x14ac:dyDescent="0.55000000000000004">
      <c r="A503">
        <v>1817</v>
      </c>
      <c r="B503">
        <v>12.972</v>
      </c>
      <c r="C503">
        <v>902.58942000000002</v>
      </c>
      <c r="D503" t="s">
        <v>1819</v>
      </c>
      <c r="E503" t="s">
        <v>1</v>
      </c>
      <c r="F503" t="s">
        <v>2</v>
      </c>
      <c r="G503">
        <v>0.15</v>
      </c>
      <c r="H503" t="b">
        <v>1</v>
      </c>
      <c r="I503">
        <v>9.1219999999999999</v>
      </c>
      <c r="J503">
        <v>902.59167000000002</v>
      </c>
      <c r="K503" t="s">
        <v>1820</v>
      </c>
      <c r="L503" t="s">
        <v>660</v>
      </c>
      <c r="N503" t="s">
        <v>1821</v>
      </c>
      <c r="O503" t="s">
        <v>1834</v>
      </c>
      <c r="P503">
        <v>410</v>
      </c>
      <c r="Q503" t="b">
        <v>0</v>
      </c>
      <c r="R503" t="b">
        <v>1</v>
      </c>
      <c r="S503" t="b">
        <v>1</v>
      </c>
      <c r="T503" t="s">
        <v>7</v>
      </c>
      <c r="U503" t="b">
        <v>0</v>
      </c>
      <c r="V503" t="b">
        <v>0</v>
      </c>
      <c r="W503">
        <v>1817</v>
      </c>
      <c r="X503">
        <v>0</v>
      </c>
      <c r="Y503">
        <v>0</v>
      </c>
      <c r="Z503">
        <v>0.94</v>
      </c>
      <c r="AA503">
        <v>0.28299999999999997</v>
      </c>
      <c r="AB503">
        <v>0.41499999999999998</v>
      </c>
      <c r="AC503">
        <v>0.81100000000000005</v>
      </c>
      <c r="AD503">
        <v>3</v>
      </c>
      <c r="AE503">
        <v>2</v>
      </c>
      <c r="AF503">
        <v>2.2530000000000001</v>
      </c>
      <c r="AG503">
        <v>167.67</v>
      </c>
      <c r="AH503" t="s">
        <v>1471</v>
      </c>
      <c r="AI503" t="s">
        <v>1823</v>
      </c>
      <c r="AJ503" t="s">
        <v>1824</v>
      </c>
      <c r="AK503">
        <v>0</v>
      </c>
      <c r="AL503">
        <v>11798</v>
      </c>
      <c r="AM503">
        <v>0</v>
      </c>
      <c r="AN503">
        <v>0</v>
      </c>
      <c r="AO503">
        <v>0</v>
      </c>
      <c r="AP503">
        <v>0</v>
      </c>
      <c r="AQ503">
        <v>0</v>
      </c>
      <c r="AR503">
        <v>0</v>
      </c>
      <c r="AS503">
        <v>0</v>
      </c>
      <c r="AT503">
        <v>0</v>
      </c>
      <c r="AU503">
        <v>61719</v>
      </c>
      <c r="AV503">
        <v>64870</v>
      </c>
      <c r="AW503">
        <v>65230</v>
      </c>
      <c r="AX503">
        <v>0</v>
      </c>
      <c r="AY503">
        <v>11797.5</v>
      </c>
      <c r="AZ503">
        <v>0</v>
      </c>
      <c r="BA503">
        <v>0</v>
      </c>
      <c r="BB503">
        <v>0</v>
      </c>
      <c r="BC503">
        <v>0</v>
      </c>
      <c r="BD503">
        <v>0</v>
      </c>
      <c r="BE503">
        <v>0</v>
      </c>
      <c r="BF503">
        <v>0</v>
      </c>
      <c r="BG503">
        <v>0</v>
      </c>
      <c r="BH503">
        <v>61719.3125</v>
      </c>
      <c r="BI503">
        <v>64869.8125</v>
      </c>
      <c r="BJ503">
        <v>65229.6875</v>
      </c>
      <c r="BK503">
        <v>0</v>
      </c>
      <c r="BL503">
        <v>0</v>
      </c>
      <c r="BM503">
        <v>0</v>
      </c>
      <c r="BN503">
        <v>0</v>
      </c>
      <c r="BO503">
        <v>0</v>
      </c>
      <c r="BP503">
        <v>0</v>
      </c>
      <c r="BQ503">
        <v>0</v>
      </c>
      <c r="BR503">
        <v>0</v>
      </c>
      <c r="BS503">
        <v>0</v>
      </c>
      <c r="BT503">
        <v>0</v>
      </c>
      <c r="BU503">
        <v>0</v>
      </c>
      <c r="BV503">
        <v>0</v>
      </c>
      <c r="BW503">
        <v>0</v>
      </c>
    </row>
    <row r="504" spans="1:75" x14ac:dyDescent="0.55000000000000004">
      <c r="A504">
        <v>1832</v>
      </c>
      <c r="B504">
        <v>14.222</v>
      </c>
      <c r="C504">
        <v>904.60479999999995</v>
      </c>
      <c r="D504" t="s">
        <v>1825</v>
      </c>
      <c r="E504" t="s">
        <v>1</v>
      </c>
      <c r="F504" t="s">
        <v>2</v>
      </c>
      <c r="G504">
        <v>0.23</v>
      </c>
      <c r="H504" t="b">
        <v>1</v>
      </c>
      <c r="I504">
        <v>9.8529999999999998</v>
      </c>
      <c r="J504">
        <v>904.60730000000001</v>
      </c>
      <c r="K504" t="s">
        <v>1826</v>
      </c>
      <c r="L504" t="s">
        <v>660</v>
      </c>
      <c r="N504" t="s">
        <v>1827</v>
      </c>
      <c r="O504" t="s">
        <v>1840</v>
      </c>
      <c r="P504">
        <v>410</v>
      </c>
      <c r="Q504" t="b">
        <v>0</v>
      </c>
      <c r="R504" t="b">
        <v>1</v>
      </c>
      <c r="S504" t="b">
        <v>1</v>
      </c>
      <c r="T504" t="s">
        <v>7</v>
      </c>
      <c r="U504" t="b">
        <v>0</v>
      </c>
      <c r="V504" t="b">
        <v>0</v>
      </c>
      <c r="W504">
        <v>1832</v>
      </c>
      <c r="X504">
        <v>0</v>
      </c>
      <c r="Y504">
        <v>0</v>
      </c>
      <c r="Z504">
        <v>0.95</v>
      </c>
      <c r="AA504">
        <v>0.33700000000000002</v>
      </c>
      <c r="AB504">
        <v>0.46800000000000003</v>
      </c>
      <c r="AC504">
        <v>0.85499999999999998</v>
      </c>
      <c r="AD504">
        <v>4</v>
      </c>
      <c r="AE504">
        <v>2</v>
      </c>
      <c r="AF504">
        <v>2.302</v>
      </c>
      <c r="AG504">
        <v>344.03</v>
      </c>
      <c r="AH504" t="s">
        <v>1471</v>
      </c>
      <c r="AI504" t="s">
        <v>1829</v>
      </c>
      <c r="AJ504" t="s">
        <v>1830</v>
      </c>
      <c r="AK504">
        <v>0</v>
      </c>
      <c r="AL504">
        <v>19725</v>
      </c>
      <c r="AM504">
        <v>0</v>
      </c>
      <c r="AN504">
        <v>0</v>
      </c>
      <c r="AO504">
        <v>0</v>
      </c>
      <c r="AP504">
        <v>0</v>
      </c>
      <c r="AQ504">
        <v>0</v>
      </c>
      <c r="AR504">
        <v>0</v>
      </c>
      <c r="AS504">
        <v>0</v>
      </c>
      <c r="AT504">
        <v>0</v>
      </c>
      <c r="AU504">
        <v>93464</v>
      </c>
      <c r="AV504">
        <v>106328</v>
      </c>
      <c r="AW504">
        <v>110767</v>
      </c>
      <c r="AX504">
        <v>0</v>
      </c>
      <c r="AY504">
        <v>19725.1875</v>
      </c>
      <c r="AZ504">
        <v>0</v>
      </c>
      <c r="BA504">
        <v>0</v>
      </c>
      <c r="BB504">
        <v>0</v>
      </c>
      <c r="BC504">
        <v>0</v>
      </c>
      <c r="BD504">
        <v>0</v>
      </c>
      <c r="BE504">
        <v>0</v>
      </c>
      <c r="BF504">
        <v>0</v>
      </c>
      <c r="BG504">
        <v>0</v>
      </c>
      <c r="BH504">
        <v>93464.25</v>
      </c>
      <c r="BI504">
        <v>106327.625</v>
      </c>
      <c r="BJ504">
        <v>110767.375</v>
      </c>
      <c r="BK504">
        <v>0</v>
      </c>
      <c r="BL504">
        <v>0</v>
      </c>
      <c r="BM504">
        <v>0</v>
      </c>
      <c r="BN504">
        <v>0</v>
      </c>
      <c r="BO504">
        <v>0</v>
      </c>
      <c r="BP504">
        <v>0</v>
      </c>
      <c r="BQ504">
        <v>0</v>
      </c>
      <c r="BR504">
        <v>0</v>
      </c>
      <c r="BS504">
        <v>0</v>
      </c>
      <c r="BT504">
        <v>0</v>
      </c>
      <c r="BU504">
        <v>0</v>
      </c>
      <c r="BV504">
        <v>0</v>
      </c>
      <c r="BW504">
        <v>0</v>
      </c>
    </row>
    <row r="505" spans="1:75" x14ac:dyDescent="0.55000000000000004">
      <c r="A505">
        <v>1846</v>
      </c>
      <c r="B505">
        <v>13.32</v>
      </c>
      <c r="C505">
        <v>906.61425999999994</v>
      </c>
      <c r="D505" t="s">
        <v>1831</v>
      </c>
      <c r="E505" t="s">
        <v>1</v>
      </c>
      <c r="F505" t="s">
        <v>2</v>
      </c>
      <c r="G505">
        <v>0.31</v>
      </c>
      <c r="H505" t="b">
        <v>1</v>
      </c>
      <c r="I505">
        <v>8.7270000000000003</v>
      </c>
      <c r="J505">
        <v>906.61590999999999</v>
      </c>
      <c r="K505" t="s">
        <v>1832</v>
      </c>
      <c r="L505" t="s">
        <v>1681</v>
      </c>
      <c r="N505" t="s">
        <v>1833</v>
      </c>
      <c r="O505" t="s">
        <v>1846</v>
      </c>
      <c r="P505">
        <v>410</v>
      </c>
      <c r="Q505" t="b">
        <v>0</v>
      </c>
      <c r="R505" t="b">
        <v>1</v>
      </c>
      <c r="S505" t="b">
        <v>1</v>
      </c>
      <c r="T505" t="s">
        <v>7</v>
      </c>
      <c r="U505" t="b">
        <v>0</v>
      </c>
      <c r="V505" t="b">
        <v>0</v>
      </c>
      <c r="W505">
        <v>1846</v>
      </c>
      <c r="X505">
        <v>0</v>
      </c>
      <c r="Y505">
        <v>0</v>
      </c>
      <c r="Z505">
        <v>0.99</v>
      </c>
      <c r="AA505">
        <v>0.40699999999999997</v>
      </c>
      <c r="AB505">
        <v>0.57199999999999995</v>
      </c>
      <c r="AC505">
        <v>0.90100000000000002</v>
      </c>
      <c r="AD505">
        <v>5</v>
      </c>
      <c r="AE505">
        <v>2</v>
      </c>
      <c r="AF505">
        <v>2.3759999999999999</v>
      </c>
      <c r="AG505">
        <v>2423.84</v>
      </c>
      <c r="AH505" t="s">
        <v>1459</v>
      </c>
      <c r="AI505" t="s">
        <v>1835</v>
      </c>
      <c r="AJ505" t="s">
        <v>1836</v>
      </c>
      <c r="AK505">
        <v>0</v>
      </c>
      <c r="AL505">
        <v>238123</v>
      </c>
      <c r="AM505">
        <v>0</v>
      </c>
      <c r="AN505">
        <v>0</v>
      </c>
      <c r="AO505">
        <v>0</v>
      </c>
      <c r="AP505">
        <v>0</v>
      </c>
      <c r="AQ505">
        <v>0</v>
      </c>
      <c r="AR505">
        <v>0</v>
      </c>
      <c r="AS505">
        <v>0</v>
      </c>
      <c r="AT505">
        <v>0</v>
      </c>
      <c r="AU505">
        <v>862595</v>
      </c>
      <c r="AV505">
        <v>966134</v>
      </c>
      <c r="AW505">
        <v>992564</v>
      </c>
      <c r="AX505">
        <v>0</v>
      </c>
      <c r="AY505">
        <v>238122.5625</v>
      </c>
      <c r="AZ505">
        <v>0</v>
      </c>
      <c r="BA505">
        <v>0</v>
      </c>
      <c r="BB505">
        <v>0</v>
      </c>
      <c r="BC505">
        <v>0</v>
      </c>
      <c r="BD505">
        <v>0</v>
      </c>
      <c r="BE505">
        <v>0</v>
      </c>
      <c r="BF505">
        <v>0</v>
      </c>
      <c r="BG505">
        <v>0</v>
      </c>
      <c r="BH505">
        <v>862594.875</v>
      </c>
      <c r="BI505">
        <v>966133.5</v>
      </c>
      <c r="BJ505">
        <v>992564.4375</v>
      </c>
      <c r="BK505">
        <v>0</v>
      </c>
      <c r="BL505">
        <v>0</v>
      </c>
      <c r="BM505">
        <v>0</v>
      </c>
      <c r="BN505">
        <v>0</v>
      </c>
      <c r="BO505">
        <v>0</v>
      </c>
      <c r="BP505">
        <v>0</v>
      </c>
      <c r="BQ505">
        <v>0</v>
      </c>
      <c r="BR505">
        <v>0</v>
      </c>
      <c r="BS505">
        <v>0</v>
      </c>
      <c r="BT505">
        <v>0</v>
      </c>
      <c r="BU505">
        <v>0</v>
      </c>
      <c r="BV505">
        <v>0</v>
      </c>
      <c r="BW505">
        <v>0</v>
      </c>
    </row>
    <row r="506" spans="1:75" x14ac:dyDescent="0.55000000000000004">
      <c r="A506">
        <v>1861</v>
      </c>
      <c r="B506">
        <v>12.842000000000001</v>
      </c>
      <c r="C506">
        <v>909.5498</v>
      </c>
      <c r="D506" t="s">
        <v>1837</v>
      </c>
      <c r="E506" t="s">
        <v>32</v>
      </c>
      <c r="F506" t="s">
        <v>2</v>
      </c>
      <c r="G506">
        <v>0.31</v>
      </c>
      <c r="H506" t="b">
        <v>1</v>
      </c>
      <c r="I506">
        <v>8.4700000000000006</v>
      </c>
      <c r="J506">
        <v>909.54993000000002</v>
      </c>
      <c r="K506" t="s">
        <v>1838</v>
      </c>
      <c r="L506" t="s">
        <v>1024</v>
      </c>
      <c r="N506" t="s">
        <v>1839</v>
      </c>
      <c r="O506" t="s">
        <v>1852</v>
      </c>
      <c r="P506">
        <v>410</v>
      </c>
      <c r="Q506" t="b">
        <v>0</v>
      </c>
      <c r="R506" t="b">
        <v>1</v>
      </c>
      <c r="S506" t="b">
        <v>1</v>
      </c>
      <c r="T506" t="s">
        <v>7</v>
      </c>
      <c r="U506" t="b">
        <v>0</v>
      </c>
      <c r="V506" t="b">
        <v>0</v>
      </c>
      <c r="W506">
        <v>1861</v>
      </c>
      <c r="X506">
        <v>0</v>
      </c>
      <c r="Y506">
        <v>0</v>
      </c>
      <c r="Z506">
        <v>0.99</v>
      </c>
      <c r="AA506">
        <v>0.41599999999999998</v>
      </c>
      <c r="AB506">
        <v>0.52300000000000002</v>
      </c>
      <c r="AC506">
        <v>0.82199999999999995</v>
      </c>
      <c r="AD506">
        <v>7</v>
      </c>
      <c r="AE506">
        <v>2</v>
      </c>
      <c r="AF506">
        <v>2.3340000000000001</v>
      </c>
      <c r="AG506">
        <v>2661.46</v>
      </c>
      <c r="AH506" t="s">
        <v>1459</v>
      </c>
      <c r="AI506" t="s">
        <v>1841</v>
      </c>
      <c r="AJ506" t="s">
        <v>1842</v>
      </c>
      <c r="AK506">
        <v>0</v>
      </c>
      <c r="AL506">
        <v>95159</v>
      </c>
      <c r="AM506">
        <v>0</v>
      </c>
      <c r="AN506">
        <v>0</v>
      </c>
      <c r="AO506">
        <v>0</v>
      </c>
      <c r="AP506">
        <v>0</v>
      </c>
      <c r="AQ506">
        <v>0</v>
      </c>
      <c r="AR506">
        <v>0</v>
      </c>
      <c r="AS506">
        <v>0</v>
      </c>
      <c r="AT506">
        <v>0</v>
      </c>
      <c r="AU506">
        <v>677611</v>
      </c>
      <c r="AV506">
        <v>735986</v>
      </c>
      <c r="AW506">
        <v>770718</v>
      </c>
      <c r="AX506">
        <v>0</v>
      </c>
      <c r="AY506">
        <v>95159.4375</v>
      </c>
      <c r="AZ506">
        <v>0</v>
      </c>
      <c r="BA506">
        <v>0</v>
      </c>
      <c r="BB506">
        <v>0</v>
      </c>
      <c r="BC506">
        <v>0</v>
      </c>
      <c r="BD506">
        <v>0</v>
      </c>
      <c r="BE506">
        <v>0</v>
      </c>
      <c r="BF506">
        <v>0</v>
      </c>
      <c r="BG506">
        <v>0</v>
      </c>
      <c r="BH506">
        <v>677610.625</v>
      </c>
      <c r="BI506">
        <v>735986.1875</v>
      </c>
      <c r="BJ506">
        <v>770718</v>
      </c>
      <c r="BK506">
        <v>0</v>
      </c>
      <c r="BL506">
        <v>0</v>
      </c>
      <c r="BM506">
        <v>0</v>
      </c>
      <c r="BN506">
        <v>0</v>
      </c>
      <c r="BO506">
        <v>0</v>
      </c>
      <c r="BP506">
        <v>0</v>
      </c>
      <c r="BQ506">
        <v>0</v>
      </c>
      <c r="BR506">
        <v>0</v>
      </c>
      <c r="BS506">
        <v>0</v>
      </c>
      <c r="BT506">
        <v>0</v>
      </c>
      <c r="BU506">
        <v>0</v>
      </c>
      <c r="BV506">
        <v>0</v>
      </c>
      <c r="BW506">
        <v>0</v>
      </c>
    </row>
    <row r="507" spans="1:75" x14ac:dyDescent="0.55000000000000004">
      <c r="A507">
        <v>1882</v>
      </c>
      <c r="B507">
        <v>13.236000000000001</v>
      </c>
      <c r="C507">
        <v>911.56322999999998</v>
      </c>
      <c r="D507" t="s">
        <v>1843</v>
      </c>
      <c r="E507" t="s">
        <v>32</v>
      </c>
      <c r="F507" t="s">
        <v>2</v>
      </c>
      <c r="G507">
        <v>0.23</v>
      </c>
      <c r="H507" t="b">
        <v>1</v>
      </c>
      <c r="I507">
        <v>8.6259999999999994</v>
      </c>
      <c r="J507">
        <v>911.56548999999995</v>
      </c>
      <c r="K507" t="s">
        <v>1844</v>
      </c>
      <c r="L507" t="s">
        <v>1024</v>
      </c>
      <c r="N507" t="s">
        <v>1845</v>
      </c>
      <c r="O507" t="s">
        <v>1858</v>
      </c>
      <c r="P507">
        <v>410</v>
      </c>
      <c r="Q507" t="b">
        <v>0</v>
      </c>
      <c r="R507" t="b">
        <v>1</v>
      </c>
      <c r="S507" t="b">
        <v>1</v>
      </c>
      <c r="T507" t="s">
        <v>7</v>
      </c>
      <c r="U507" t="b">
        <v>0</v>
      </c>
      <c r="V507" t="b">
        <v>0</v>
      </c>
      <c r="W507">
        <v>1882</v>
      </c>
      <c r="X507">
        <v>0</v>
      </c>
      <c r="Y507">
        <v>0</v>
      </c>
      <c r="Z507">
        <v>0.96</v>
      </c>
      <c r="AA507">
        <v>0.41599999999999998</v>
      </c>
      <c r="AB507">
        <v>0.47899999999999998</v>
      </c>
      <c r="AC507">
        <v>0.79600000000000004</v>
      </c>
      <c r="AD507">
        <v>8</v>
      </c>
      <c r="AE507">
        <v>2</v>
      </c>
      <c r="AF507">
        <v>2.298</v>
      </c>
      <c r="AG507">
        <v>1558.38</v>
      </c>
      <c r="AH507" t="s">
        <v>1480</v>
      </c>
      <c r="AI507" t="s">
        <v>1847</v>
      </c>
      <c r="AJ507" t="s">
        <v>1848</v>
      </c>
      <c r="AK507">
        <v>0</v>
      </c>
      <c r="AL507">
        <v>74851</v>
      </c>
      <c r="AM507">
        <v>0</v>
      </c>
      <c r="AN507">
        <v>0</v>
      </c>
      <c r="AO507">
        <v>0</v>
      </c>
      <c r="AP507">
        <v>0</v>
      </c>
      <c r="AQ507">
        <v>0</v>
      </c>
      <c r="AR507">
        <v>0</v>
      </c>
      <c r="AS507">
        <v>0</v>
      </c>
      <c r="AT507">
        <v>0</v>
      </c>
      <c r="AU507">
        <v>350556</v>
      </c>
      <c r="AV507">
        <v>378640</v>
      </c>
      <c r="AW507">
        <v>387695</v>
      </c>
      <c r="AX507">
        <v>0</v>
      </c>
      <c r="AY507">
        <v>74850.625</v>
      </c>
      <c r="AZ507">
        <v>0</v>
      </c>
      <c r="BA507">
        <v>0</v>
      </c>
      <c r="BB507">
        <v>0</v>
      </c>
      <c r="BC507">
        <v>0</v>
      </c>
      <c r="BD507">
        <v>0</v>
      </c>
      <c r="BE507">
        <v>0</v>
      </c>
      <c r="BF507">
        <v>0</v>
      </c>
      <c r="BG507">
        <v>0</v>
      </c>
      <c r="BH507">
        <v>350555.6875</v>
      </c>
      <c r="BI507">
        <v>378639.5</v>
      </c>
      <c r="BJ507">
        <v>387694.9375</v>
      </c>
      <c r="BK507">
        <v>0</v>
      </c>
      <c r="BL507">
        <v>0</v>
      </c>
      <c r="BM507">
        <v>0</v>
      </c>
      <c r="BN507">
        <v>0</v>
      </c>
      <c r="BO507">
        <v>0</v>
      </c>
      <c r="BP507">
        <v>0</v>
      </c>
      <c r="BQ507">
        <v>0</v>
      </c>
      <c r="BR507">
        <v>0</v>
      </c>
      <c r="BS507">
        <v>0</v>
      </c>
      <c r="BT507">
        <v>0</v>
      </c>
      <c r="BU507">
        <v>0</v>
      </c>
      <c r="BV507">
        <v>0</v>
      </c>
      <c r="BW507">
        <v>0</v>
      </c>
    </row>
    <row r="508" spans="1:75" x14ac:dyDescent="0.55000000000000004">
      <c r="A508">
        <v>1902</v>
      </c>
      <c r="B508">
        <v>14.103</v>
      </c>
      <c r="C508">
        <v>913.58043999999995</v>
      </c>
      <c r="D508" t="s">
        <v>1849</v>
      </c>
      <c r="E508" t="s">
        <v>32</v>
      </c>
      <c r="F508" t="s">
        <v>2</v>
      </c>
      <c r="G508">
        <v>0.31</v>
      </c>
      <c r="H508" t="b">
        <v>1</v>
      </c>
      <c r="I508">
        <v>9.173</v>
      </c>
      <c r="J508">
        <v>913.58118000000002</v>
      </c>
      <c r="K508" t="s">
        <v>1850</v>
      </c>
      <c r="L508" t="s">
        <v>1024</v>
      </c>
      <c r="N508" t="s">
        <v>1851</v>
      </c>
      <c r="O508" t="s">
        <v>1864</v>
      </c>
      <c r="P508">
        <v>410</v>
      </c>
      <c r="Q508" t="b">
        <v>0</v>
      </c>
      <c r="R508" t="b">
        <v>1</v>
      </c>
      <c r="S508" t="b">
        <v>1</v>
      </c>
      <c r="T508" t="s">
        <v>7</v>
      </c>
      <c r="U508" t="b">
        <v>0</v>
      </c>
      <c r="V508" t="b">
        <v>0</v>
      </c>
      <c r="W508">
        <v>1902</v>
      </c>
      <c r="X508">
        <v>0</v>
      </c>
      <c r="Y508">
        <v>0</v>
      </c>
      <c r="Z508">
        <v>0.99</v>
      </c>
      <c r="AA508">
        <v>0.36599999999999999</v>
      </c>
      <c r="AB508">
        <v>0.47299999999999998</v>
      </c>
      <c r="AC508">
        <v>0.81</v>
      </c>
      <c r="AD508">
        <v>7</v>
      </c>
      <c r="AE508">
        <v>2</v>
      </c>
      <c r="AF508">
        <v>2.31</v>
      </c>
      <c r="AG508">
        <v>616.16</v>
      </c>
      <c r="AH508" t="s">
        <v>1480</v>
      </c>
      <c r="AI508" t="s">
        <v>1853</v>
      </c>
      <c r="AJ508" t="s">
        <v>1854</v>
      </c>
      <c r="AK508">
        <v>0</v>
      </c>
      <c r="AL508">
        <v>32729</v>
      </c>
      <c r="AM508">
        <v>0</v>
      </c>
      <c r="AN508">
        <v>0</v>
      </c>
      <c r="AO508">
        <v>0</v>
      </c>
      <c r="AP508">
        <v>0</v>
      </c>
      <c r="AQ508">
        <v>0</v>
      </c>
      <c r="AR508">
        <v>0</v>
      </c>
      <c r="AS508">
        <v>0</v>
      </c>
      <c r="AT508">
        <v>0</v>
      </c>
      <c r="AU508">
        <v>179926</v>
      </c>
      <c r="AV508">
        <v>199624</v>
      </c>
      <c r="AW508">
        <v>202813</v>
      </c>
      <c r="AX508">
        <v>0</v>
      </c>
      <c r="AY508">
        <v>32729.125</v>
      </c>
      <c r="AZ508">
        <v>0</v>
      </c>
      <c r="BA508">
        <v>0</v>
      </c>
      <c r="BB508">
        <v>0</v>
      </c>
      <c r="BC508">
        <v>0</v>
      </c>
      <c r="BD508">
        <v>0</v>
      </c>
      <c r="BE508">
        <v>0</v>
      </c>
      <c r="BF508">
        <v>0</v>
      </c>
      <c r="BG508">
        <v>0</v>
      </c>
      <c r="BH508">
        <v>179926.0625</v>
      </c>
      <c r="BI508">
        <v>199623.625</v>
      </c>
      <c r="BJ508">
        <v>202812.5625</v>
      </c>
      <c r="BK508">
        <v>0</v>
      </c>
      <c r="BL508">
        <v>0</v>
      </c>
      <c r="BM508">
        <v>0</v>
      </c>
      <c r="BN508">
        <v>0</v>
      </c>
      <c r="BO508">
        <v>0</v>
      </c>
      <c r="BP508">
        <v>0</v>
      </c>
      <c r="BQ508">
        <v>0</v>
      </c>
      <c r="BR508">
        <v>0</v>
      </c>
      <c r="BS508">
        <v>0</v>
      </c>
      <c r="BT508">
        <v>0</v>
      </c>
      <c r="BU508">
        <v>0</v>
      </c>
      <c r="BV508">
        <v>0</v>
      </c>
      <c r="BW508">
        <v>0</v>
      </c>
    </row>
    <row r="509" spans="1:75" x14ac:dyDescent="0.55000000000000004">
      <c r="A509">
        <v>1965</v>
      </c>
      <c r="B509">
        <v>16.22</v>
      </c>
      <c r="C509">
        <v>920.67322000000001</v>
      </c>
      <c r="D509" t="s">
        <v>1855</v>
      </c>
      <c r="E509" t="s">
        <v>1</v>
      </c>
      <c r="F509" t="s">
        <v>2</v>
      </c>
      <c r="G509">
        <v>0.31</v>
      </c>
      <c r="H509" t="b">
        <v>1</v>
      </c>
      <c r="I509">
        <v>12.648999999999999</v>
      </c>
      <c r="J509">
        <v>920.67498999999998</v>
      </c>
      <c r="K509" t="s">
        <v>1856</v>
      </c>
      <c r="L509" t="s">
        <v>329</v>
      </c>
      <c r="N509" t="s">
        <v>1857</v>
      </c>
      <c r="O509" t="s">
        <v>1870</v>
      </c>
      <c r="P509">
        <v>410</v>
      </c>
      <c r="Q509" t="b">
        <v>0</v>
      </c>
      <c r="R509" t="b">
        <v>1</v>
      </c>
      <c r="S509" t="b">
        <v>1</v>
      </c>
      <c r="T509" t="s">
        <v>7</v>
      </c>
      <c r="U509" t="b">
        <v>0</v>
      </c>
      <c r="V509" t="b">
        <v>0</v>
      </c>
      <c r="W509">
        <v>1965</v>
      </c>
      <c r="X509">
        <v>0</v>
      </c>
      <c r="Y509">
        <v>0</v>
      </c>
      <c r="Z509">
        <v>1</v>
      </c>
      <c r="AA509">
        <v>0.56399999999999995</v>
      </c>
      <c r="AB509">
        <v>0.69299999999999995</v>
      </c>
      <c r="AC509">
        <v>0.82</v>
      </c>
      <c r="AD509">
        <v>4</v>
      </c>
      <c r="AE509">
        <v>2</v>
      </c>
      <c r="AF509">
        <v>2.407</v>
      </c>
      <c r="AG509">
        <v>1692.25</v>
      </c>
      <c r="AH509" t="s">
        <v>1459</v>
      </c>
      <c r="AI509" t="s">
        <v>1859</v>
      </c>
      <c r="AJ509" t="s">
        <v>1860</v>
      </c>
      <c r="AK509">
        <v>0</v>
      </c>
      <c r="AL509">
        <v>122733</v>
      </c>
      <c r="AM509">
        <v>0</v>
      </c>
      <c r="AN509">
        <v>0</v>
      </c>
      <c r="AO509">
        <v>0</v>
      </c>
      <c r="AP509">
        <v>0</v>
      </c>
      <c r="AQ509">
        <v>0</v>
      </c>
      <c r="AR509">
        <v>0</v>
      </c>
      <c r="AS509">
        <v>0</v>
      </c>
      <c r="AT509">
        <v>0</v>
      </c>
      <c r="AU509">
        <v>802427</v>
      </c>
      <c r="AV509">
        <v>916026</v>
      </c>
      <c r="AW509">
        <v>925859</v>
      </c>
      <c r="AX509">
        <v>0</v>
      </c>
      <c r="AY509">
        <v>122733.25</v>
      </c>
      <c r="AZ509">
        <v>0</v>
      </c>
      <c r="BA509">
        <v>0</v>
      </c>
      <c r="BB509">
        <v>0</v>
      </c>
      <c r="BC509">
        <v>0</v>
      </c>
      <c r="BD509">
        <v>0</v>
      </c>
      <c r="BE509">
        <v>0</v>
      </c>
      <c r="BF509">
        <v>0</v>
      </c>
      <c r="BG509">
        <v>0</v>
      </c>
      <c r="BH509">
        <v>802427.125</v>
      </c>
      <c r="BI509">
        <v>916026.375</v>
      </c>
      <c r="BJ509">
        <v>925858.75</v>
      </c>
      <c r="BK509">
        <v>0</v>
      </c>
      <c r="BL509">
        <v>0</v>
      </c>
      <c r="BM509">
        <v>0</v>
      </c>
      <c r="BN509">
        <v>0</v>
      </c>
      <c r="BO509">
        <v>0</v>
      </c>
      <c r="BP509">
        <v>0</v>
      </c>
      <c r="BQ509">
        <v>0</v>
      </c>
      <c r="BR509">
        <v>0</v>
      </c>
      <c r="BS509">
        <v>0</v>
      </c>
      <c r="BT509">
        <v>0</v>
      </c>
      <c r="BU509">
        <v>0</v>
      </c>
      <c r="BV509">
        <v>0</v>
      </c>
      <c r="BW509">
        <v>0</v>
      </c>
    </row>
    <row r="510" spans="1:75" x14ac:dyDescent="0.55000000000000004">
      <c r="A510">
        <v>1984</v>
      </c>
      <c r="B510">
        <v>16.97</v>
      </c>
      <c r="C510">
        <v>922.68970000000002</v>
      </c>
      <c r="D510" t="s">
        <v>1861</v>
      </c>
      <c r="E510" t="s">
        <v>1</v>
      </c>
      <c r="F510" t="s">
        <v>2</v>
      </c>
      <c r="G510">
        <v>0.31</v>
      </c>
      <c r="H510" t="b">
        <v>1</v>
      </c>
      <c r="I510">
        <v>13.069000000000001</v>
      </c>
      <c r="J510">
        <v>922.69060999999999</v>
      </c>
      <c r="K510" t="s">
        <v>1862</v>
      </c>
      <c r="L510" t="s">
        <v>329</v>
      </c>
      <c r="N510" t="s">
        <v>1863</v>
      </c>
      <c r="Q510" t="b">
        <v>0</v>
      </c>
      <c r="R510" t="b">
        <v>1</v>
      </c>
      <c r="S510" t="b">
        <v>1</v>
      </c>
      <c r="T510" t="s">
        <v>7</v>
      </c>
      <c r="U510" t="b">
        <v>0</v>
      </c>
      <c r="V510" t="b">
        <v>0</v>
      </c>
      <c r="W510">
        <v>1984</v>
      </c>
      <c r="X510">
        <v>0</v>
      </c>
      <c r="Y510">
        <v>0</v>
      </c>
      <c r="Z510">
        <v>1</v>
      </c>
      <c r="AA510">
        <v>0.69699999999999995</v>
      </c>
      <c r="AB510">
        <v>0.81499999999999995</v>
      </c>
      <c r="AC510">
        <v>0.84599999999999997</v>
      </c>
      <c r="AD510">
        <v>5</v>
      </c>
      <c r="AE510">
        <v>2</v>
      </c>
      <c r="AF510">
        <v>2.472</v>
      </c>
      <c r="AG510">
        <v>2988.23</v>
      </c>
      <c r="AH510" t="s">
        <v>1480</v>
      </c>
      <c r="AI510" t="s">
        <v>1865</v>
      </c>
      <c r="AJ510" t="s">
        <v>1866</v>
      </c>
      <c r="AK510">
        <v>0</v>
      </c>
      <c r="AL510">
        <v>179260</v>
      </c>
      <c r="AM510">
        <v>0</v>
      </c>
      <c r="AN510">
        <v>0</v>
      </c>
      <c r="AO510">
        <v>0</v>
      </c>
      <c r="AP510">
        <v>0</v>
      </c>
      <c r="AQ510">
        <v>0</v>
      </c>
      <c r="AR510">
        <v>0</v>
      </c>
      <c r="AS510">
        <v>0</v>
      </c>
      <c r="AT510">
        <v>0</v>
      </c>
      <c r="AU510">
        <v>1207234</v>
      </c>
      <c r="AV510">
        <v>1337297</v>
      </c>
      <c r="AW510">
        <v>1342578</v>
      </c>
      <c r="AX510">
        <v>0</v>
      </c>
      <c r="AY510">
        <v>179259.8125</v>
      </c>
      <c r="AZ510">
        <v>0</v>
      </c>
      <c r="BA510">
        <v>0</v>
      </c>
      <c r="BB510">
        <v>0</v>
      </c>
      <c r="BC510">
        <v>0</v>
      </c>
      <c r="BD510">
        <v>0</v>
      </c>
      <c r="BE510">
        <v>0</v>
      </c>
      <c r="BF510">
        <v>0</v>
      </c>
      <c r="BG510">
        <v>0</v>
      </c>
      <c r="BH510">
        <v>1207234.375</v>
      </c>
      <c r="BI510">
        <v>1337296.75</v>
      </c>
      <c r="BJ510">
        <v>1342578.4375</v>
      </c>
      <c r="BK510">
        <v>0</v>
      </c>
      <c r="BL510">
        <v>0</v>
      </c>
      <c r="BM510">
        <v>0</v>
      </c>
      <c r="BN510">
        <v>0</v>
      </c>
      <c r="BO510">
        <v>0</v>
      </c>
      <c r="BP510">
        <v>0</v>
      </c>
      <c r="BQ510">
        <v>0</v>
      </c>
      <c r="BR510">
        <v>0</v>
      </c>
      <c r="BS510">
        <v>0</v>
      </c>
      <c r="BT510">
        <v>0</v>
      </c>
      <c r="BU510">
        <v>0</v>
      </c>
      <c r="BV510">
        <v>0</v>
      </c>
      <c r="BW510">
        <v>0</v>
      </c>
    </row>
    <row r="511" spans="1:75" x14ac:dyDescent="0.55000000000000004">
      <c r="A511">
        <v>2118</v>
      </c>
      <c r="B511">
        <v>17.326000000000001</v>
      </c>
      <c r="C511">
        <v>938.68407999999999</v>
      </c>
      <c r="D511" t="s">
        <v>1867</v>
      </c>
      <c r="E511" t="s">
        <v>1</v>
      </c>
      <c r="F511" t="s">
        <v>2</v>
      </c>
      <c r="G511">
        <v>0.23</v>
      </c>
      <c r="H511" t="b">
        <v>1</v>
      </c>
      <c r="I511">
        <v>13.03</v>
      </c>
      <c r="J511">
        <v>938.68561</v>
      </c>
      <c r="K511" t="s">
        <v>1868</v>
      </c>
      <c r="L511" t="s">
        <v>660</v>
      </c>
      <c r="N511" t="s">
        <v>1869</v>
      </c>
      <c r="Q511" t="b">
        <v>0</v>
      </c>
      <c r="R511" t="b">
        <v>1</v>
      </c>
      <c r="S511" t="b">
        <v>1</v>
      </c>
      <c r="T511" t="s">
        <v>7</v>
      </c>
      <c r="U511" t="b">
        <v>0</v>
      </c>
      <c r="V511" t="b">
        <v>0</v>
      </c>
      <c r="W511">
        <v>2118</v>
      </c>
      <c r="X511">
        <v>0</v>
      </c>
      <c r="Y511">
        <v>0</v>
      </c>
      <c r="Z511">
        <v>0.99</v>
      </c>
      <c r="AA511">
        <v>0.39400000000000002</v>
      </c>
      <c r="AB511">
        <v>0.49399999999999999</v>
      </c>
      <c r="AC511">
        <v>0.81100000000000005</v>
      </c>
      <c r="AD511">
        <v>4</v>
      </c>
      <c r="AE511">
        <v>2</v>
      </c>
      <c r="AF511">
        <v>2.3159999999999998</v>
      </c>
      <c r="AG511">
        <v>142.86000000000001</v>
      </c>
      <c r="AH511" t="s">
        <v>1480</v>
      </c>
      <c r="AI511" t="s">
        <v>1871</v>
      </c>
      <c r="AJ511" t="s">
        <v>1872</v>
      </c>
      <c r="AK511">
        <v>0</v>
      </c>
      <c r="AL511">
        <v>6545</v>
      </c>
      <c r="AM511">
        <v>0</v>
      </c>
      <c r="AN511">
        <v>0</v>
      </c>
      <c r="AO511">
        <v>0</v>
      </c>
      <c r="AP511">
        <v>0</v>
      </c>
      <c r="AQ511">
        <v>0</v>
      </c>
      <c r="AR511">
        <v>0</v>
      </c>
      <c r="AS511">
        <v>0</v>
      </c>
      <c r="AT511">
        <v>0</v>
      </c>
      <c r="AU511">
        <v>41026</v>
      </c>
      <c r="AV511">
        <v>46885</v>
      </c>
      <c r="AW511">
        <v>48430</v>
      </c>
      <c r="AX511">
        <v>0</v>
      </c>
      <c r="AY511">
        <v>6544.875</v>
      </c>
      <c r="AZ511">
        <v>0</v>
      </c>
      <c r="BA511">
        <v>0</v>
      </c>
      <c r="BB511">
        <v>0</v>
      </c>
      <c r="BC511">
        <v>0</v>
      </c>
      <c r="BD511">
        <v>0</v>
      </c>
      <c r="BE511">
        <v>0</v>
      </c>
      <c r="BF511">
        <v>0</v>
      </c>
      <c r="BG511">
        <v>0</v>
      </c>
      <c r="BH511">
        <v>41026.0625</v>
      </c>
      <c r="BI511">
        <v>46885.125</v>
      </c>
      <c r="BJ511">
        <v>48430.1875</v>
      </c>
      <c r="BK511">
        <v>0</v>
      </c>
      <c r="BL511">
        <v>0</v>
      </c>
      <c r="BM511">
        <v>0</v>
      </c>
      <c r="BN511">
        <v>0</v>
      </c>
      <c r="BO511">
        <v>0</v>
      </c>
      <c r="BP511">
        <v>0</v>
      </c>
      <c r="BQ511">
        <v>0</v>
      </c>
      <c r="BR511">
        <v>0</v>
      </c>
      <c r="BS511">
        <v>0</v>
      </c>
      <c r="BT511">
        <v>0</v>
      </c>
      <c r="BU511">
        <v>0</v>
      </c>
      <c r="BV511">
        <v>0</v>
      </c>
      <c r="BW511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FB66CC-E830-4386-8C3A-B4BB14DE1324}">
  <dimension ref="A1:N227"/>
  <sheetViews>
    <sheetView workbookViewId="0">
      <selection activeCell="E2" sqref="E2"/>
    </sheetView>
  </sheetViews>
  <sheetFormatPr defaultRowHeight="14.4" x14ac:dyDescent="0.55000000000000004"/>
  <cols>
    <col min="1" max="1" width="23.20703125" customWidth="1"/>
    <col min="2" max="2" width="27.05078125" customWidth="1"/>
    <col min="4" max="4" width="11.1015625" customWidth="1"/>
    <col min="5" max="5" width="19.7890625" customWidth="1"/>
    <col min="6" max="6" width="17.15625" customWidth="1"/>
    <col min="7" max="7" width="17.3125" customWidth="1"/>
    <col min="8" max="8" width="18.7890625" customWidth="1"/>
    <col min="9" max="9" width="25.734375" customWidth="1"/>
    <col min="10" max="10" width="19.5234375" customWidth="1"/>
    <col min="11" max="11" width="20.05078125" customWidth="1"/>
  </cols>
  <sheetData>
    <row r="1" spans="1:7" x14ac:dyDescent="0.55000000000000004">
      <c r="E1">
        <f>SUM(E21,E39,E49,E75,E107,E127,E226)</f>
        <v>182</v>
      </c>
    </row>
    <row r="2" spans="1:7" ht="21.3" x14ac:dyDescent="0.85">
      <c r="A2" s="34" t="s">
        <v>2349</v>
      </c>
    </row>
    <row r="3" spans="1:7" ht="14.7" thickBot="1" x14ac:dyDescent="0.6"/>
    <row r="4" spans="1:7" ht="15.3" thickBot="1" x14ac:dyDescent="0.6">
      <c r="A4" s="12" t="s">
        <v>2348</v>
      </c>
      <c r="B4" s="13"/>
      <c r="C4" s="13"/>
      <c r="D4" s="13"/>
      <c r="E4" s="13"/>
      <c r="F4" s="13"/>
      <c r="G4" s="14"/>
    </row>
    <row r="5" spans="1:7" ht="17.399999999999999" x14ac:dyDescent="0.55000000000000004">
      <c r="A5" s="15" t="s">
        <v>2283</v>
      </c>
      <c r="B5" s="16" t="s">
        <v>2284</v>
      </c>
      <c r="C5" s="16" t="s">
        <v>2285</v>
      </c>
      <c r="D5" s="16" t="s">
        <v>2286</v>
      </c>
      <c r="E5" s="16" t="s">
        <v>2287</v>
      </c>
      <c r="F5" s="16"/>
      <c r="G5" s="17"/>
    </row>
    <row r="6" spans="1:7" ht="15.3" thickBot="1" x14ac:dyDescent="0.6">
      <c r="A6" s="18"/>
      <c r="B6" s="19"/>
      <c r="C6" s="19"/>
      <c r="D6" s="19"/>
      <c r="E6" s="20" t="s">
        <v>2288</v>
      </c>
      <c r="F6" s="20" t="s">
        <v>2289</v>
      </c>
      <c r="G6" s="21" t="s">
        <v>2290</v>
      </c>
    </row>
    <row r="7" spans="1:7" ht="15" x14ac:dyDescent="0.55000000000000004">
      <c r="A7" s="1" t="s">
        <v>2291</v>
      </c>
      <c r="B7" s="1" t="s">
        <v>2291</v>
      </c>
      <c r="C7" s="1">
        <v>16</v>
      </c>
      <c r="D7" s="1">
        <v>5.86</v>
      </c>
      <c r="E7" s="1">
        <v>255.23230000000001</v>
      </c>
      <c r="F7" s="2">
        <v>255.233</v>
      </c>
      <c r="G7" s="3">
        <f t="shared" ref="G7:G20" si="0">((E7-F7)/F7)*1000000</f>
        <v>-2.7425920629182587</v>
      </c>
    </row>
    <row r="8" spans="1:7" ht="15" x14ac:dyDescent="0.55000000000000004">
      <c r="A8" s="1" t="s">
        <v>2292</v>
      </c>
      <c r="B8" s="1" t="s">
        <v>2292</v>
      </c>
      <c r="C8" s="1">
        <v>14</v>
      </c>
      <c r="D8" s="1">
        <v>4.3099999999999996</v>
      </c>
      <c r="E8" s="1">
        <v>253.21690000000001</v>
      </c>
      <c r="F8" s="2">
        <v>253.21729999999999</v>
      </c>
      <c r="G8" s="3">
        <f t="shared" si="0"/>
        <v>-1.5796708992033994</v>
      </c>
    </row>
    <row r="9" spans="1:7" ht="15" x14ac:dyDescent="0.55000000000000004">
      <c r="A9" s="1" t="s">
        <v>2293</v>
      </c>
      <c r="B9" s="1" t="s">
        <v>2293</v>
      </c>
      <c r="C9" s="1">
        <v>18</v>
      </c>
      <c r="D9" s="1">
        <v>8.1300000000000008</v>
      </c>
      <c r="E9" s="1">
        <v>283.26510000000002</v>
      </c>
      <c r="F9" s="1">
        <v>283.26429999999999</v>
      </c>
      <c r="G9" s="3">
        <f t="shared" si="0"/>
        <v>2.8242175241516749</v>
      </c>
    </row>
    <row r="10" spans="1:7" ht="15" x14ac:dyDescent="0.55000000000000004">
      <c r="A10" s="1" t="s">
        <v>2294</v>
      </c>
      <c r="B10" s="1" t="s">
        <v>2294</v>
      </c>
      <c r="C10" s="1">
        <v>16</v>
      </c>
      <c r="D10" s="1">
        <v>6.03</v>
      </c>
      <c r="E10" s="1">
        <v>281.24829999999997</v>
      </c>
      <c r="F10" s="1">
        <v>281.24860000000001</v>
      </c>
      <c r="G10" s="3">
        <f t="shared" si="0"/>
        <v>-1.0666719764591919</v>
      </c>
    </row>
    <row r="11" spans="1:7" ht="15" x14ac:dyDescent="0.55000000000000004">
      <c r="A11" s="1" t="s">
        <v>2295</v>
      </c>
      <c r="B11" s="1" t="s">
        <v>2295</v>
      </c>
      <c r="C11" s="1">
        <v>14</v>
      </c>
      <c r="D11" s="1">
        <v>4.54</v>
      </c>
      <c r="E11" s="1">
        <v>279.23259999999999</v>
      </c>
      <c r="F11" s="2">
        <v>279.233</v>
      </c>
      <c r="G11" s="3">
        <f t="shared" si="0"/>
        <v>-1.4324954429214263</v>
      </c>
    </row>
    <row r="12" spans="1:7" ht="15" x14ac:dyDescent="0.55000000000000004">
      <c r="A12" s="1" t="s">
        <v>2296</v>
      </c>
      <c r="B12" s="1" t="s">
        <v>2296</v>
      </c>
      <c r="C12" s="1">
        <v>12</v>
      </c>
      <c r="D12" s="1">
        <v>3.56</v>
      </c>
      <c r="E12" s="1">
        <v>277.21749999999997</v>
      </c>
      <c r="F12" s="1">
        <v>277.21730000000002</v>
      </c>
      <c r="G12" s="3">
        <f t="shared" si="0"/>
        <v>0.72145569540499765</v>
      </c>
    </row>
    <row r="13" spans="1:7" ht="15" x14ac:dyDescent="0.55000000000000004">
      <c r="A13" s="1" t="s">
        <v>2297</v>
      </c>
      <c r="B13" s="1" t="s">
        <v>2297</v>
      </c>
      <c r="C13" s="1">
        <v>14</v>
      </c>
      <c r="D13" s="1">
        <v>5.53</v>
      </c>
      <c r="E13" s="1">
        <v>305.24869999999999</v>
      </c>
      <c r="F13" s="1">
        <v>305.24860000000001</v>
      </c>
      <c r="G13" s="3">
        <f t="shared" si="0"/>
        <v>0.32760183003262894</v>
      </c>
    </row>
    <row r="14" spans="1:7" ht="15" x14ac:dyDescent="0.55000000000000004">
      <c r="A14" s="8" t="s">
        <v>2298</v>
      </c>
      <c r="B14" s="1" t="s">
        <v>2298</v>
      </c>
      <c r="C14" s="1">
        <v>12</v>
      </c>
      <c r="D14" s="1">
        <v>4.22</v>
      </c>
      <c r="E14" s="1">
        <v>303.23239999999998</v>
      </c>
      <c r="F14" s="2">
        <v>303.233</v>
      </c>
      <c r="G14" s="3">
        <f t="shared" si="0"/>
        <v>-1.9786764633793748</v>
      </c>
    </row>
    <row r="15" spans="1:7" ht="15" x14ac:dyDescent="0.55000000000000004">
      <c r="A15" s="8"/>
      <c r="B15" s="1" t="s">
        <v>2298</v>
      </c>
      <c r="C15" s="1">
        <v>12</v>
      </c>
      <c r="D15" s="1">
        <v>4.3099999999999996</v>
      </c>
      <c r="E15" s="1">
        <v>303.23219999999998</v>
      </c>
      <c r="F15" s="2">
        <v>303.233</v>
      </c>
      <c r="G15" s="3">
        <f t="shared" si="0"/>
        <v>-2.638235284505833</v>
      </c>
    </row>
    <row r="16" spans="1:7" ht="15" x14ac:dyDescent="0.55000000000000004">
      <c r="A16" s="1" t="s">
        <v>2299</v>
      </c>
      <c r="B16" s="1" t="s">
        <v>2299</v>
      </c>
      <c r="C16" s="1">
        <v>10</v>
      </c>
      <c r="D16" s="1">
        <v>3.32</v>
      </c>
      <c r="E16" s="1">
        <v>301.2174</v>
      </c>
      <c r="F16" s="1">
        <v>301.21730000000002</v>
      </c>
      <c r="G16" s="3">
        <f t="shared" si="0"/>
        <v>0.33198624373466573</v>
      </c>
    </row>
    <row r="17" spans="1:14" ht="15" x14ac:dyDescent="0.55000000000000004">
      <c r="A17" s="1" t="s">
        <v>2300</v>
      </c>
      <c r="B17" s="1" t="s">
        <v>2300</v>
      </c>
      <c r="C17" s="1">
        <v>14</v>
      </c>
      <c r="D17" s="1">
        <v>5.58</v>
      </c>
      <c r="E17" s="1">
        <v>331.26369999999997</v>
      </c>
      <c r="F17" s="1">
        <v>331.26429999999999</v>
      </c>
      <c r="G17" s="3">
        <f t="shared" si="0"/>
        <v>-1.8112425637773764</v>
      </c>
    </row>
    <row r="18" spans="1:14" ht="15" x14ac:dyDescent="0.55000000000000004">
      <c r="A18" s="8" t="s">
        <v>2301</v>
      </c>
      <c r="B18" s="1" t="s">
        <v>2301</v>
      </c>
      <c r="C18" s="1">
        <v>12</v>
      </c>
      <c r="D18" s="1">
        <v>4.3600000000000003</v>
      </c>
      <c r="E18" s="1">
        <v>329.2484</v>
      </c>
      <c r="F18" s="1">
        <v>329.24860000000001</v>
      </c>
      <c r="G18" s="3">
        <f t="shared" si="0"/>
        <v>-0.60744373706263088</v>
      </c>
    </row>
    <row r="19" spans="1:14" ht="15" x14ac:dyDescent="0.55000000000000004">
      <c r="A19" s="8"/>
      <c r="B19" s="1" t="s">
        <v>2301</v>
      </c>
      <c r="C19" s="1">
        <v>12</v>
      </c>
      <c r="D19" s="1">
        <v>4.8899999999999997</v>
      </c>
      <c r="E19" s="1">
        <v>329.2484</v>
      </c>
      <c r="F19" s="1">
        <v>329.24860000000001</v>
      </c>
      <c r="G19" s="3">
        <f t="shared" si="0"/>
        <v>-0.60744373706263088</v>
      </c>
    </row>
    <row r="20" spans="1:14" ht="15" x14ac:dyDescent="0.55000000000000004">
      <c r="A20" s="1" t="s">
        <v>2302</v>
      </c>
      <c r="B20" s="1" t="s">
        <v>2302</v>
      </c>
      <c r="C20" s="1">
        <v>10</v>
      </c>
      <c r="D20" s="1">
        <v>3.84</v>
      </c>
      <c r="E20" s="1">
        <v>327.23259999999999</v>
      </c>
      <c r="F20" s="2">
        <v>327.233</v>
      </c>
      <c r="G20" s="3">
        <f t="shared" si="0"/>
        <v>-1.2223706044722831</v>
      </c>
    </row>
    <row r="21" spans="1:14" x14ac:dyDescent="0.55000000000000004">
      <c r="D21" s="63" t="s">
        <v>2625</v>
      </c>
      <c r="E21" s="63">
        <f>COUNT(E7:E20)</f>
        <v>14</v>
      </c>
    </row>
    <row r="23" spans="1:14" ht="21.3" x14ac:dyDescent="0.85">
      <c r="A23" s="35" t="s">
        <v>2365</v>
      </c>
      <c r="B23" s="35"/>
      <c r="C23" s="35" t="s">
        <v>2377</v>
      </c>
      <c r="D23" s="9"/>
      <c r="E23" s="9"/>
      <c r="F23" s="35" t="s">
        <v>2377</v>
      </c>
      <c r="G23" s="9"/>
      <c r="H23" s="9"/>
      <c r="I23" s="35" t="s">
        <v>2377</v>
      </c>
      <c r="J23" s="9"/>
      <c r="K23" s="9"/>
      <c r="L23" s="9"/>
      <c r="M23" s="9"/>
      <c r="N23" s="9"/>
    </row>
    <row r="25" spans="1:14" ht="14.7" thickBot="1" x14ac:dyDescent="0.6"/>
    <row r="26" spans="1:14" ht="15.3" thickBot="1" x14ac:dyDescent="0.6">
      <c r="A26" s="22" t="s">
        <v>2350</v>
      </c>
      <c r="B26" s="23"/>
      <c r="C26" s="23"/>
      <c r="D26" s="23"/>
      <c r="E26" s="23"/>
      <c r="F26" s="23"/>
      <c r="G26" s="23"/>
      <c r="H26" s="23"/>
      <c r="I26" s="24"/>
    </row>
    <row r="27" spans="1:14" ht="17.399999999999999" x14ac:dyDescent="0.55000000000000004">
      <c r="A27" s="15" t="s">
        <v>2283</v>
      </c>
      <c r="B27" s="16" t="s">
        <v>2284</v>
      </c>
      <c r="C27" s="16" t="s">
        <v>2285</v>
      </c>
      <c r="D27" s="16" t="s">
        <v>2286</v>
      </c>
      <c r="E27" s="16" t="s">
        <v>2351</v>
      </c>
      <c r="F27" s="16"/>
      <c r="G27" s="16"/>
      <c r="H27" s="25" t="s">
        <v>2352</v>
      </c>
      <c r="I27" s="26" t="s">
        <v>2353</v>
      </c>
    </row>
    <row r="28" spans="1:14" ht="15.6" thickBot="1" x14ac:dyDescent="0.6">
      <c r="A28" s="18"/>
      <c r="B28" s="19"/>
      <c r="C28" s="19"/>
      <c r="D28" s="19"/>
      <c r="E28" s="27" t="s">
        <v>2288</v>
      </c>
      <c r="F28" s="27" t="s">
        <v>2289</v>
      </c>
      <c r="G28" s="27" t="s">
        <v>2290</v>
      </c>
      <c r="H28" s="27" t="s">
        <v>2289</v>
      </c>
      <c r="I28" s="28" t="s">
        <v>2289</v>
      </c>
    </row>
    <row r="29" spans="1:14" ht="15.3" x14ac:dyDescent="0.55000000000000004">
      <c r="A29" s="29" t="s">
        <v>2354</v>
      </c>
      <c r="B29" s="29" t="s">
        <v>2354</v>
      </c>
      <c r="C29" s="29">
        <v>12</v>
      </c>
      <c r="D29" s="30">
        <v>1.47</v>
      </c>
      <c r="E29" s="29">
        <v>344.28059999999999</v>
      </c>
      <c r="F29" s="29">
        <v>344.27949999999998</v>
      </c>
      <c r="G29" s="31">
        <f t="shared" ref="G29:G38" si="1">((E29-F29)/F29)*1000000</f>
        <v>3.1950784174140328</v>
      </c>
      <c r="H29" s="32">
        <v>85.028599999999997</v>
      </c>
      <c r="I29" s="32">
        <v>144.1019</v>
      </c>
    </row>
    <row r="30" spans="1:14" ht="15.3" x14ac:dyDescent="0.55000000000000004">
      <c r="A30" s="33" t="s">
        <v>2355</v>
      </c>
      <c r="B30" s="33" t="s">
        <v>2355</v>
      </c>
      <c r="C30" s="29">
        <v>13</v>
      </c>
      <c r="D30" s="30">
        <v>1.58</v>
      </c>
      <c r="E30" s="29">
        <v>358.29539999999997</v>
      </c>
      <c r="F30" s="33">
        <v>358.29520000000002</v>
      </c>
      <c r="G30" s="31">
        <f t="shared" si="1"/>
        <v>0.55819893749566252</v>
      </c>
      <c r="H30" s="32">
        <v>85.028599999999997</v>
      </c>
      <c r="I30" s="32" t="s">
        <v>2356</v>
      </c>
    </row>
    <row r="31" spans="1:14" ht="15.3" x14ac:dyDescent="0.55000000000000004">
      <c r="A31" s="29" t="s">
        <v>2357</v>
      </c>
      <c r="B31" s="29" t="s">
        <v>2357</v>
      </c>
      <c r="C31" s="29">
        <v>14</v>
      </c>
      <c r="D31" s="30">
        <v>1.9</v>
      </c>
      <c r="E31" s="29">
        <v>372.3125</v>
      </c>
      <c r="F31" s="29">
        <v>372.31079999999997</v>
      </c>
      <c r="G31" s="31">
        <f t="shared" si="1"/>
        <v>4.5660775890143732</v>
      </c>
      <c r="H31" s="32">
        <v>85.028599999999997</v>
      </c>
      <c r="I31" s="32">
        <v>144.1019</v>
      </c>
    </row>
    <row r="32" spans="1:14" ht="15.3" x14ac:dyDescent="0.55000000000000004">
      <c r="A32" s="29" t="s">
        <v>2358</v>
      </c>
      <c r="B32" s="29" t="s">
        <v>2358</v>
      </c>
      <c r="C32" s="29">
        <v>12</v>
      </c>
      <c r="D32" s="30">
        <v>1.6</v>
      </c>
      <c r="E32" s="29">
        <v>370.29539999999997</v>
      </c>
      <c r="F32" s="29">
        <v>370.29520000000002</v>
      </c>
      <c r="G32" s="31">
        <f t="shared" si="1"/>
        <v>0.54010962051302824</v>
      </c>
      <c r="H32" s="32">
        <v>85.028599999999997</v>
      </c>
      <c r="I32" s="32">
        <v>144.1019</v>
      </c>
    </row>
    <row r="33" spans="1:10" ht="15.3" x14ac:dyDescent="0.55000000000000004">
      <c r="A33" s="29" t="s">
        <v>2359</v>
      </c>
      <c r="B33" s="29" t="s">
        <v>2359</v>
      </c>
      <c r="C33" s="29">
        <v>10</v>
      </c>
      <c r="D33" s="30">
        <v>1.43</v>
      </c>
      <c r="E33" s="29">
        <v>368.27890000000002</v>
      </c>
      <c r="F33" s="29">
        <v>368.27949999999998</v>
      </c>
      <c r="G33" s="31">
        <f t="shared" si="1"/>
        <v>-1.6291973893824514</v>
      </c>
      <c r="H33" s="32">
        <v>85.028599999999997</v>
      </c>
      <c r="I33" s="32">
        <v>144.1019</v>
      </c>
    </row>
    <row r="34" spans="1:10" ht="15.3" x14ac:dyDescent="0.55000000000000004">
      <c r="A34" s="29" t="s">
        <v>2360</v>
      </c>
      <c r="B34" s="29" t="s">
        <v>2360</v>
      </c>
      <c r="C34" s="29">
        <v>16</v>
      </c>
      <c r="D34" s="30">
        <v>2.64</v>
      </c>
      <c r="E34" s="29">
        <v>400.34109999999998</v>
      </c>
      <c r="F34" s="29">
        <v>400.34210000000002</v>
      </c>
      <c r="G34" s="31">
        <f t="shared" si="1"/>
        <v>-2.4978637021517263</v>
      </c>
      <c r="H34" s="32">
        <v>85.028599999999997</v>
      </c>
      <c r="I34" s="32">
        <v>144.1019</v>
      </c>
    </row>
    <row r="35" spans="1:10" ht="15.3" x14ac:dyDescent="0.55000000000000004">
      <c r="A35" s="29" t="s">
        <v>2361</v>
      </c>
      <c r="B35" s="29" t="s">
        <v>2361</v>
      </c>
      <c r="C35" s="29">
        <v>14</v>
      </c>
      <c r="D35" s="30">
        <v>2.0299999999999998</v>
      </c>
      <c r="E35" s="29">
        <v>398.32690000000002</v>
      </c>
      <c r="F35" s="29">
        <v>398.32650000000001</v>
      </c>
      <c r="G35" s="31">
        <f t="shared" si="1"/>
        <v>1.0042013273364403</v>
      </c>
      <c r="H35" s="32">
        <v>85.028599999999997</v>
      </c>
      <c r="I35" s="32" t="s">
        <v>2356</v>
      </c>
    </row>
    <row r="36" spans="1:10" ht="15.3" x14ac:dyDescent="0.55000000000000004">
      <c r="A36" s="29" t="s">
        <v>2362</v>
      </c>
      <c r="B36" s="29" t="s">
        <v>2362</v>
      </c>
      <c r="C36" s="29">
        <v>18</v>
      </c>
      <c r="D36" s="30">
        <v>3.83</v>
      </c>
      <c r="E36" s="29">
        <v>428.37380000000002</v>
      </c>
      <c r="F36" s="29">
        <v>428.3734</v>
      </c>
      <c r="G36" s="31">
        <f t="shared" si="1"/>
        <v>0.9337647949505703</v>
      </c>
      <c r="H36" s="32">
        <v>85.028599999999997</v>
      </c>
      <c r="I36" s="32">
        <v>144.1019</v>
      </c>
    </row>
    <row r="37" spans="1:10" ht="15.3" x14ac:dyDescent="0.55000000000000004">
      <c r="A37" s="29" t="s">
        <v>2363</v>
      </c>
      <c r="B37" s="29" t="s">
        <v>2363</v>
      </c>
      <c r="C37" s="29">
        <v>16</v>
      </c>
      <c r="D37" s="30">
        <v>2.79</v>
      </c>
      <c r="E37" s="29">
        <v>426.35879999999997</v>
      </c>
      <c r="F37" s="29">
        <v>426.3578</v>
      </c>
      <c r="G37" s="31">
        <f t="shared" si="1"/>
        <v>2.3454478843270912</v>
      </c>
      <c r="H37" s="32">
        <v>85.028599999999997</v>
      </c>
      <c r="I37" s="32">
        <v>144.1019</v>
      </c>
    </row>
    <row r="38" spans="1:10" ht="15.3" x14ac:dyDescent="0.55000000000000004">
      <c r="A38" s="29" t="s">
        <v>2364</v>
      </c>
      <c r="B38" s="29" t="s">
        <v>2364</v>
      </c>
      <c r="C38" s="29">
        <v>14</v>
      </c>
      <c r="D38" s="30">
        <v>2.1800000000000002</v>
      </c>
      <c r="E38" s="29">
        <v>424.34359999999998</v>
      </c>
      <c r="F38" s="29">
        <v>424.34210000000002</v>
      </c>
      <c r="G38" s="31">
        <f t="shared" si="1"/>
        <v>3.534883764690163</v>
      </c>
      <c r="H38" s="32">
        <v>85.028599999999997</v>
      </c>
      <c r="I38" s="32">
        <v>144.1019</v>
      </c>
    </row>
    <row r="39" spans="1:10" x14ac:dyDescent="0.55000000000000004">
      <c r="D39" s="63" t="s">
        <v>2625</v>
      </c>
      <c r="E39" s="63">
        <f>COUNT(E25:E38)</f>
        <v>10</v>
      </c>
    </row>
    <row r="41" spans="1:10" ht="14.7" thickBot="1" x14ac:dyDescent="0.6"/>
    <row r="42" spans="1:10" ht="15.3" thickBot="1" x14ac:dyDescent="0.6">
      <c r="A42" s="12" t="s">
        <v>2366</v>
      </c>
      <c r="B42" s="13"/>
      <c r="C42" s="13"/>
      <c r="D42" s="13"/>
      <c r="E42" s="13"/>
      <c r="F42" s="13"/>
      <c r="G42" s="13"/>
      <c r="H42" s="13"/>
      <c r="I42" s="13"/>
      <c r="J42" s="14"/>
    </row>
    <row r="43" spans="1:10" ht="18.600000000000001" x14ac:dyDescent="0.55000000000000004">
      <c r="A43" s="36" t="s">
        <v>2283</v>
      </c>
      <c r="B43" s="37" t="s">
        <v>2284</v>
      </c>
      <c r="C43" s="37" t="s">
        <v>2285</v>
      </c>
      <c r="D43" s="37" t="s">
        <v>2286</v>
      </c>
      <c r="E43" s="37" t="s">
        <v>2367</v>
      </c>
      <c r="F43" s="37"/>
      <c r="G43" s="37"/>
      <c r="H43" s="37" t="s">
        <v>2368</v>
      </c>
      <c r="I43" s="37"/>
      <c r="J43" s="38"/>
    </row>
    <row r="44" spans="1:10" ht="15.3" thickBot="1" x14ac:dyDescent="0.6">
      <c r="A44" s="18"/>
      <c r="B44" s="19"/>
      <c r="C44" s="19"/>
      <c r="D44" s="19"/>
      <c r="E44" s="20" t="s">
        <v>2288</v>
      </c>
      <c r="F44" s="20" t="s">
        <v>2289</v>
      </c>
      <c r="G44" s="20" t="s">
        <v>2290</v>
      </c>
      <c r="H44" s="20" t="s">
        <v>2288</v>
      </c>
      <c r="I44" s="20" t="s">
        <v>2289</v>
      </c>
      <c r="J44" s="21" t="s">
        <v>2290</v>
      </c>
    </row>
    <row r="45" spans="1:10" ht="15.3" x14ac:dyDescent="0.55000000000000004">
      <c r="A45" s="29" t="s">
        <v>2369</v>
      </c>
      <c r="B45" s="29" t="s">
        <v>2370</v>
      </c>
      <c r="C45" s="29">
        <v>16</v>
      </c>
      <c r="D45" s="29">
        <v>4.58</v>
      </c>
      <c r="E45" s="1">
        <v>353.26620000000003</v>
      </c>
      <c r="F45" s="29">
        <v>353.26530000000002</v>
      </c>
      <c r="G45" s="31">
        <f>((E45-F45)/F45)*1000000</f>
        <v>2.5476603561160838</v>
      </c>
      <c r="H45" s="32">
        <v>313.2747</v>
      </c>
      <c r="I45" s="32">
        <v>313.27370000000002</v>
      </c>
      <c r="J45" s="31">
        <f>((H45-I45)/I45)*1000000</f>
        <v>3.1920968787879516</v>
      </c>
    </row>
    <row r="46" spans="1:10" ht="15.3" x14ac:dyDescent="0.55000000000000004">
      <c r="A46" s="29" t="s">
        <v>2371</v>
      </c>
      <c r="B46" s="29" t="s">
        <v>2372</v>
      </c>
      <c r="C46" s="29">
        <v>18</v>
      </c>
      <c r="D46" s="29">
        <v>6.54</v>
      </c>
      <c r="E46" s="1">
        <v>381.29750000000001</v>
      </c>
      <c r="F46" s="29">
        <v>381.29640000000001</v>
      </c>
      <c r="G46" s="31">
        <f>((E46-F46)/F46)*1000000</f>
        <v>2.8848947957759226</v>
      </c>
      <c r="H46" s="32">
        <v>341.3066</v>
      </c>
      <c r="I46" s="32">
        <v>341.30500000000001</v>
      </c>
      <c r="J46" s="31">
        <f>((H46-I46)/I46)*1000000</f>
        <v>4.687889131411116</v>
      </c>
    </row>
    <row r="47" spans="1:10" ht="15.3" x14ac:dyDescent="0.55000000000000004">
      <c r="A47" s="29" t="s">
        <v>2373</v>
      </c>
      <c r="B47" s="29" t="s">
        <v>2374</v>
      </c>
      <c r="C47" s="29">
        <v>16</v>
      </c>
      <c r="D47" s="29">
        <v>4.78</v>
      </c>
      <c r="E47" s="1">
        <v>379.28190000000001</v>
      </c>
      <c r="F47" s="29">
        <v>379.28210000000001</v>
      </c>
      <c r="G47" s="31">
        <f>((E47-F47)/F47)*1000000</f>
        <v>-0.52731199285871733</v>
      </c>
      <c r="H47" s="32">
        <v>339.291</v>
      </c>
      <c r="I47" s="32">
        <v>339.2894</v>
      </c>
      <c r="J47" s="31">
        <f>((H47-I47)/I47)*1000000</f>
        <v>4.7157382458640651</v>
      </c>
    </row>
    <row r="48" spans="1:10" ht="15.3" x14ac:dyDescent="0.55000000000000004">
      <c r="A48" s="29" t="s">
        <v>2375</v>
      </c>
      <c r="B48" s="29" t="s">
        <v>2376</v>
      </c>
      <c r="C48" s="29">
        <v>14</v>
      </c>
      <c r="D48" s="30">
        <v>3.6</v>
      </c>
      <c r="E48" s="29">
        <v>377.26620000000003</v>
      </c>
      <c r="F48" s="29">
        <v>377.26530000000002</v>
      </c>
      <c r="G48" s="31">
        <f>((E48-F48)/F48)*1000000</f>
        <v>2.3855891331682377</v>
      </c>
      <c r="H48" s="32">
        <v>337.2722</v>
      </c>
      <c r="I48" s="32">
        <v>337.27370000000002</v>
      </c>
      <c r="J48" s="31">
        <f>((H48-I48)/I48)*1000000</f>
        <v>-4.4474265263534418</v>
      </c>
    </row>
    <row r="49" spans="1:11" x14ac:dyDescent="0.55000000000000004">
      <c r="D49" s="63" t="s">
        <v>2625</v>
      </c>
      <c r="E49" s="63">
        <v>4</v>
      </c>
    </row>
    <row r="51" spans="1:11" ht="14.7" thickBot="1" x14ac:dyDescent="0.6"/>
    <row r="52" spans="1:11" ht="15.3" thickBot="1" x14ac:dyDescent="0.6">
      <c r="A52" s="12" t="s">
        <v>2378</v>
      </c>
      <c r="B52" s="13"/>
      <c r="C52" s="13"/>
      <c r="D52" s="13"/>
      <c r="E52" s="13"/>
      <c r="F52" s="13"/>
      <c r="G52" s="13"/>
      <c r="H52" s="13"/>
      <c r="I52" s="13"/>
      <c r="J52" s="13"/>
      <c r="K52" s="14"/>
    </row>
    <row r="53" spans="1:11" ht="17.399999999999999" x14ac:dyDescent="0.55000000000000004">
      <c r="A53" s="15" t="s">
        <v>2283</v>
      </c>
      <c r="B53" s="16" t="s">
        <v>2284</v>
      </c>
      <c r="C53" s="16" t="s">
        <v>2285</v>
      </c>
      <c r="D53" s="16" t="s">
        <v>2286</v>
      </c>
      <c r="E53" s="39" t="s">
        <v>2367</v>
      </c>
      <c r="F53" s="40"/>
      <c r="G53" s="41"/>
      <c r="H53" s="25" t="s">
        <v>2379</v>
      </c>
      <c r="I53" s="25" t="s">
        <v>2380</v>
      </c>
      <c r="J53" s="25" t="s">
        <v>2381</v>
      </c>
      <c r="K53" s="26" t="s">
        <v>2382</v>
      </c>
    </row>
    <row r="54" spans="1:11" ht="15.6" thickBot="1" x14ac:dyDescent="0.6">
      <c r="A54" s="18"/>
      <c r="B54" s="19"/>
      <c r="C54" s="19"/>
      <c r="D54" s="19"/>
      <c r="E54" s="27" t="s">
        <v>2288</v>
      </c>
      <c r="F54" s="27" t="s">
        <v>2289</v>
      </c>
      <c r="G54" s="27" t="s">
        <v>2290</v>
      </c>
      <c r="H54" s="27" t="s">
        <v>2289</v>
      </c>
      <c r="I54" s="27" t="s">
        <v>2289</v>
      </c>
      <c r="J54" s="27" t="s">
        <v>2289</v>
      </c>
      <c r="K54" s="28" t="s">
        <v>2289</v>
      </c>
    </row>
    <row r="55" spans="1:11" ht="15.3" x14ac:dyDescent="0.55000000000000004">
      <c r="A55" s="42" t="s">
        <v>2383</v>
      </c>
      <c r="B55" s="1" t="s">
        <v>2384</v>
      </c>
      <c r="C55" s="1">
        <v>32</v>
      </c>
      <c r="D55" s="1">
        <v>16.079999999999998</v>
      </c>
      <c r="E55" s="32">
        <v>591.49800000000005</v>
      </c>
      <c r="F55" s="2">
        <v>591.49590000000001</v>
      </c>
      <c r="G55" s="31">
        <f>((E55-F55)/F55)*1000000</f>
        <v>3.5503204672108311</v>
      </c>
      <c r="H55" s="43">
        <v>313.27370000000002</v>
      </c>
      <c r="I55" s="43">
        <v>313.27370000000002</v>
      </c>
      <c r="J55" s="32">
        <v>239.23689999999999</v>
      </c>
      <c r="K55" s="32">
        <v>239.23689999999999</v>
      </c>
    </row>
    <row r="56" spans="1:11" ht="15.3" x14ac:dyDescent="0.55000000000000004">
      <c r="A56" s="8"/>
      <c r="B56" s="1" t="s">
        <v>2385</v>
      </c>
      <c r="C56" s="29">
        <v>32</v>
      </c>
      <c r="D56" s="29">
        <v>16.16</v>
      </c>
      <c r="E56" s="32">
        <v>591.49789999999996</v>
      </c>
      <c r="F56" s="2">
        <v>591.49590000000001</v>
      </c>
      <c r="G56" s="31">
        <f>((E56-F56)/F56)*1000000</f>
        <v>3.3812575876733995</v>
      </c>
      <c r="H56" s="43">
        <v>313.27370000000002</v>
      </c>
      <c r="I56" s="43">
        <v>313.27370000000002</v>
      </c>
      <c r="J56" s="32">
        <v>239.23689999999999</v>
      </c>
      <c r="K56" s="32">
        <v>239.23689999999999</v>
      </c>
    </row>
    <row r="57" spans="1:11" ht="15.3" x14ac:dyDescent="0.55000000000000004">
      <c r="A57" s="8" t="s">
        <v>2386</v>
      </c>
      <c r="B57" s="44" t="s">
        <v>2387</v>
      </c>
      <c r="C57" s="29">
        <v>30</v>
      </c>
      <c r="D57" s="29">
        <v>15.12</v>
      </c>
      <c r="E57" s="32">
        <v>589.48159999999996</v>
      </c>
      <c r="F57" s="2">
        <v>589.48019999999997</v>
      </c>
      <c r="G57" s="31">
        <f>((E57-F57)/F57)*1000000</f>
        <v>2.3749737480404458</v>
      </c>
      <c r="H57" s="43">
        <v>311.25810000000001</v>
      </c>
      <c r="I57" s="43">
        <v>313.27370000000002</v>
      </c>
      <c r="J57" s="32">
        <v>239.23689999999999</v>
      </c>
      <c r="K57" s="32">
        <v>237.22130000000001</v>
      </c>
    </row>
    <row r="58" spans="1:11" ht="15.3" x14ac:dyDescent="0.55000000000000004">
      <c r="A58" s="8"/>
      <c r="B58" s="44" t="s">
        <v>2388</v>
      </c>
      <c r="C58" s="29">
        <v>30</v>
      </c>
      <c r="D58" s="29">
        <v>15.19</v>
      </c>
      <c r="E58" s="32">
        <v>589.48030000000006</v>
      </c>
      <c r="F58" s="2">
        <v>589.48019999999997</v>
      </c>
      <c r="G58" s="31">
        <f>((E58-F58)/F58)*1000000</f>
        <v>0.16964098215442144</v>
      </c>
      <c r="H58" s="43">
        <v>311.25810000000001</v>
      </c>
      <c r="I58" s="43">
        <v>313.27370000000002</v>
      </c>
      <c r="J58" s="32">
        <v>239.23689999999999</v>
      </c>
      <c r="K58" s="32">
        <v>237.22130000000001</v>
      </c>
    </row>
    <row r="59" spans="1:11" ht="15.3" x14ac:dyDescent="0.55000000000000004">
      <c r="A59" s="8" t="s">
        <v>2389</v>
      </c>
      <c r="B59" s="44" t="s">
        <v>2390</v>
      </c>
      <c r="C59" s="29">
        <v>34</v>
      </c>
      <c r="D59" s="29">
        <v>16.96</v>
      </c>
      <c r="E59" s="32">
        <v>619.52819999999997</v>
      </c>
      <c r="F59" s="2">
        <v>619.52719999999999</v>
      </c>
      <c r="G59" s="31">
        <f t="shared" ref="G59:G74" si="2">((E59-F59)/F59)*1000000</f>
        <v>1.6141341332169972</v>
      </c>
      <c r="H59" s="43">
        <v>341.30500000000001</v>
      </c>
      <c r="I59" s="43">
        <v>313.27370000000002</v>
      </c>
      <c r="J59" s="32">
        <v>239.23689999999999</v>
      </c>
      <c r="K59" s="32">
        <v>267.26819999999998</v>
      </c>
    </row>
    <row r="60" spans="1:11" ht="15.3" x14ac:dyDescent="0.55000000000000004">
      <c r="A60" s="8"/>
      <c r="B60" s="44" t="s">
        <v>2391</v>
      </c>
      <c r="C60" s="29">
        <v>34</v>
      </c>
      <c r="D60" s="29">
        <v>17.03</v>
      </c>
      <c r="E60" s="32">
        <v>619.52840000000003</v>
      </c>
      <c r="F60" s="2">
        <v>619.52719999999999</v>
      </c>
      <c r="G60" s="31">
        <f t="shared" si="2"/>
        <v>1.9369609599705</v>
      </c>
      <c r="H60" s="43">
        <v>341.30500000000001</v>
      </c>
      <c r="I60" s="43">
        <v>313.27370000000002</v>
      </c>
      <c r="J60" s="32">
        <v>239.23689999999999</v>
      </c>
      <c r="K60" s="32">
        <v>267.26819999999998</v>
      </c>
    </row>
    <row r="61" spans="1:11" ht="15.3" x14ac:dyDescent="0.55000000000000004">
      <c r="A61" s="8" t="s">
        <v>2392</v>
      </c>
      <c r="B61" s="44" t="s">
        <v>2393</v>
      </c>
      <c r="C61" s="29">
        <v>32</v>
      </c>
      <c r="D61" s="29">
        <v>16.09</v>
      </c>
      <c r="E61" s="32">
        <v>617.51319999999998</v>
      </c>
      <c r="F61" s="2">
        <v>617.51149999999996</v>
      </c>
      <c r="G61" s="31">
        <f t="shared" si="2"/>
        <v>2.7529851671232235</v>
      </c>
      <c r="H61" s="43">
        <v>339.2894</v>
      </c>
      <c r="I61" s="43">
        <v>313.27370000000002</v>
      </c>
      <c r="J61" s="32">
        <v>239.23689999999999</v>
      </c>
      <c r="K61" s="32">
        <v>265.25259999999997</v>
      </c>
    </row>
    <row r="62" spans="1:11" ht="15.3" x14ac:dyDescent="0.55000000000000004">
      <c r="A62" s="8"/>
      <c r="B62" s="44" t="s">
        <v>2394</v>
      </c>
      <c r="C62" s="29">
        <v>32</v>
      </c>
      <c r="D62" s="29">
        <v>16.16</v>
      </c>
      <c r="E62" s="32">
        <v>617.51350000000002</v>
      </c>
      <c r="F62" s="2">
        <v>617.51149999999996</v>
      </c>
      <c r="G62" s="31">
        <f t="shared" si="2"/>
        <v>3.2388060790226469</v>
      </c>
      <c r="H62" s="43">
        <v>339.2894</v>
      </c>
      <c r="I62" s="43">
        <v>313.27370000000002</v>
      </c>
      <c r="J62" s="32">
        <v>239.23689999999999</v>
      </c>
      <c r="K62" s="32">
        <v>265.25259999999997</v>
      </c>
    </row>
    <row r="63" spans="1:11" ht="15.3" x14ac:dyDescent="0.55000000000000004">
      <c r="A63" s="8" t="s">
        <v>2395</v>
      </c>
      <c r="B63" s="44" t="s">
        <v>2396</v>
      </c>
      <c r="C63" s="29">
        <v>30</v>
      </c>
      <c r="D63" s="29">
        <v>15.13</v>
      </c>
      <c r="E63" s="32">
        <v>615.49869999999999</v>
      </c>
      <c r="F63" s="2">
        <v>615.49590000000001</v>
      </c>
      <c r="G63" s="31">
        <f t="shared" si="2"/>
        <v>4.5491773381094225</v>
      </c>
      <c r="H63" s="43">
        <v>339.2894</v>
      </c>
      <c r="I63" s="43">
        <v>311.25810000000001</v>
      </c>
      <c r="J63" s="32">
        <v>237.22130000000001</v>
      </c>
      <c r="K63" s="32">
        <v>265.25259999999997</v>
      </c>
    </row>
    <row r="64" spans="1:11" ht="15.3" x14ac:dyDescent="0.55000000000000004">
      <c r="A64" s="8"/>
      <c r="B64" s="44" t="s">
        <v>2397</v>
      </c>
      <c r="C64" s="29">
        <v>30</v>
      </c>
      <c r="D64" s="29">
        <v>15.26</v>
      </c>
      <c r="E64" s="32">
        <v>615.49829999999997</v>
      </c>
      <c r="F64" s="2">
        <v>615.49590000000001</v>
      </c>
      <c r="G64" s="31">
        <f t="shared" si="2"/>
        <v>3.8992948612102616</v>
      </c>
      <c r="H64" s="43">
        <v>339.2894</v>
      </c>
      <c r="I64" s="43">
        <v>311.25810000000001</v>
      </c>
      <c r="J64" s="32">
        <v>237.221</v>
      </c>
      <c r="K64" s="32">
        <v>265.25259999999997</v>
      </c>
    </row>
    <row r="65" spans="1:11" ht="15.3" x14ac:dyDescent="0.55000000000000004">
      <c r="A65" s="8"/>
      <c r="B65" s="44" t="s">
        <v>2398</v>
      </c>
      <c r="C65" s="29">
        <v>30</v>
      </c>
      <c r="D65" s="29">
        <v>15.26</v>
      </c>
      <c r="E65" s="32">
        <v>615.49829999999997</v>
      </c>
      <c r="F65" s="2">
        <v>615.49590000000001</v>
      </c>
      <c r="G65" s="31">
        <f t="shared" si="2"/>
        <v>3.8992948612102616</v>
      </c>
      <c r="H65" s="43">
        <v>337.27370000000002</v>
      </c>
      <c r="I65" s="43">
        <v>313.27370000000002</v>
      </c>
      <c r="J65" s="32">
        <v>239.23689999999999</v>
      </c>
      <c r="K65" s="32">
        <v>263.23689999999999</v>
      </c>
    </row>
    <row r="66" spans="1:11" ht="15.3" x14ac:dyDescent="0.55000000000000004">
      <c r="A66" s="8"/>
      <c r="B66" s="44" t="s">
        <v>2399</v>
      </c>
      <c r="C66" s="29">
        <v>30</v>
      </c>
      <c r="D66" s="29">
        <v>15.35</v>
      </c>
      <c r="E66" s="32">
        <v>615.49860000000001</v>
      </c>
      <c r="F66" s="2">
        <v>615.49590000000001</v>
      </c>
      <c r="G66" s="31">
        <f t="shared" si="2"/>
        <v>4.3867067189308093</v>
      </c>
      <c r="H66" s="43">
        <v>337.27370000000002</v>
      </c>
      <c r="I66" s="43">
        <v>313.27370000000002</v>
      </c>
      <c r="J66" s="32">
        <v>239.23689999999999</v>
      </c>
      <c r="K66" s="32">
        <v>263.23689999999999</v>
      </c>
    </row>
    <row r="67" spans="1:11" ht="15.3" x14ac:dyDescent="0.55000000000000004">
      <c r="A67" s="1" t="s">
        <v>2400</v>
      </c>
      <c r="B67" s="44" t="s">
        <v>2401</v>
      </c>
      <c r="C67" s="29">
        <v>36</v>
      </c>
      <c r="D67" s="29">
        <v>17.72</v>
      </c>
      <c r="E67" s="32">
        <v>647.55939999999998</v>
      </c>
      <c r="F67" s="2">
        <v>647.55849999999998</v>
      </c>
      <c r="G67" s="31">
        <f t="shared" si="2"/>
        <v>1.3898358217851441</v>
      </c>
      <c r="H67" s="43">
        <v>341.30500000000001</v>
      </c>
      <c r="I67" s="43">
        <v>341.30500000000001</v>
      </c>
      <c r="J67" s="32">
        <v>267.26819999999998</v>
      </c>
      <c r="K67" s="32">
        <v>267.26819999999998</v>
      </c>
    </row>
    <row r="68" spans="1:11" ht="15.3" x14ac:dyDescent="0.55000000000000004">
      <c r="A68" s="1" t="s">
        <v>2402</v>
      </c>
      <c r="B68" s="44" t="s">
        <v>2403</v>
      </c>
      <c r="C68" s="29">
        <v>34</v>
      </c>
      <c r="D68" s="29">
        <v>16.97</v>
      </c>
      <c r="E68" s="32">
        <v>645.54399999999998</v>
      </c>
      <c r="F68" s="2">
        <v>645.54280000000006</v>
      </c>
      <c r="G68" s="31">
        <f t="shared" si="2"/>
        <v>1.8589007575115839</v>
      </c>
      <c r="H68" s="43">
        <v>339.2894</v>
      </c>
      <c r="I68" s="43">
        <v>341.30500000000001</v>
      </c>
      <c r="J68" s="32">
        <v>267.26819999999998</v>
      </c>
      <c r="K68" s="32">
        <v>265.25259999999997</v>
      </c>
    </row>
    <row r="69" spans="1:11" ht="15.3" x14ac:dyDescent="0.55000000000000004">
      <c r="A69" s="8" t="s">
        <v>2404</v>
      </c>
      <c r="B69" s="44" t="s">
        <v>2405</v>
      </c>
      <c r="C69" s="29">
        <v>32</v>
      </c>
      <c r="D69" s="29">
        <v>16.11</v>
      </c>
      <c r="E69" s="32">
        <v>643.52940000000001</v>
      </c>
      <c r="F69" s="2">
        <v>643.52719999999999</v>
      </c>
      <c r="G69" s="31">
        <f t="shared" si="2"/>
        <v>3.4186589160740821</v>
      </c>
      <c r="H69" s="43">
        <v>339.2894</v>
      </c>
      <c r="I69" s="43">
        <v>339.2894</v>
      </c>
      <c r="J69" s="32">
        <v>321.27879999999999</v>
      </c>
      <c r="K69" s="32">
        <v>321.27879999999999</v>
      </c>
    </row>
    <row r="70" spans="1:11" ht="15.3" x14ac:dyDescent="0.55000000000000004">
      <c r="A70" s="8"/>
      <c r="B70" s="44" t="s">
        <v>2406</v>
      </c>
      <c r="C70" s="29">
        <v>32</v>
      </c>
      <c r="D70" s="29">
        <v>16.16</v>
      </c>
      <c r="E70" s="32">
        <v>643.52970000000005</v>
      </c>
      <c r="F70" s="2">
        <v>643.52719999999999</v>
      </c>
      <c r="G70" s="31">
        <f t="shared" si="2"/>
        <v>3.884839677413122</v>
      </c>
      <c r="H70" s="43">
        <v>339.2894</v>
      </c>
      <c r="I70" s="43">
        <v>339.2894</v>
      </c>
      <c r="J70" s="32">
        <v>321.27879999999999</v>
      </c>
      <c r="K70" s="32">
        <v>321.27879999999999</v>
      </c>
    </row>
    <row r="71" spans="1:11" ht="15.3" x14ac:dyDescent="0.55000000000000004">
      <c r="A71" s="8" t="s">
        <v>2407</v>
      </c>
      <c r="B71" s="44" t="s">
        <v>2408</v>
      </c>
      <c r="C71" s="29">
        <v>30</v>
      </c>
      <c r="D71" s="29">
        <v>15.29</v>
      </c>
      <c r="E71" s="32">
        <v>641.51239999999996</v>
      </c>
      <c r="F71" s="2">
        <v>641.51149999999996</v>
      </c>
      <c r="G71" s="31">
        <f t="shared" si="2"/>
        <v>1.4029366581915605</v>
      </c>
      <c r="H71" s="43">
        <v>339.2894</v>
      </c>
      <c r="I71" s="43">
        <v>337.27370000000002</v>
      </c>
      <c r="J71" s="32">
        <v>265.25259999999997</v>
      </c>
      <c r="K71" s="32">
        <v>263.23689999999999</v>
      </c>
    </row>
    <row r="72" spans="1:11" ht="15.3" x14ac:dyDescent="0.55000000000000004">
      <c r="A72" s="8"/>
      <c r="B72" s="44" t="s">
        <v>2409</v>
      </c>
      <c r="C72" s="29">
        <v>30</v>
      </c>
      <c r="D72" s="29">
        <v>15.35</v>
      </c>
      <c r="E72" s="32">
        <v>641.51199999999994</v>
      </c>
      <c r="F72" s="2">
        <v>641.51149999999996</v>
      </c>
      <c r="G72" s="31">
        <f t="shared" si="2"/>
        <v>0.77940925453117615</v>
      </c>
      <c r="H72" s="43">
        <v>339.2894</v>
      </c>
      <c r="I72" s="43">
        <v>337.27370000000002</v>
      </c>
      <c r="J72" s="32">
        <v>265.25259999999997</v>
      </c>
      <c r="K72" s="32">
        <v>263.23689999999999</v>
      </c>
    </row>
    <row r="73" spans="1:11" ht="15.3" x14ac:dyDescent="0.55000000000000004">
      <c r="A73" s="8" t="s">
        <v>2410</v>
      </c>
      <c r="B73" s="44" t="s">
        <v>2411</v>
      </c>
      <c r="C73" s="29">
        <v>28</v>
      </c>
      <c r="D73" s="29">
        <v>14.53</v>
      </c>
      <c r="E73" s="32">
        <v>639.49599999999998</v>
      </c>
      <c r="F73" s="2">
        <v>639.49590000000001</v>
      </c>
      <c r="G73" s="31">
        <f t="shared" si="2"/>
        <v>0.15637316826409356</v>
      </c>
      <c r="H73" s="43">
        <v>335.25880000000001</v>
      </c>
      <c r="I73" s="43">
        <v>339.2894</v>
      </c>
      <c r="J73" s="32">
        <v>265.25259999999997</v>
      </c>
      <c r="K73" s="32">
        <v>261.22129999999999</v>
      </c>
    </row>
    <row r="74" spans="1:11" ht="15.3" x14ac:dyDescent="0.55000000000000004">
      <c r="A74" s="8"/>
      <c r="B74" s="44" t="s">
        <v>2412</v>
      </c>
      <c r="C74" s="29">
        <v>28</v>
      </c>
      <c r="D74" s="29">
        <v>14.53</v>
      </c>
      <c r="E74" s="32">
        <v>639.49630000000002</v>
      </c>
      <c r="F74" s="2">
        <v>639.49590000000001</v>
      </c>
      <c r="G74" s="31">
        <f t="shared" si="2"/>
        <v>0.62549267323414992</v>
      </c>
      <c r="H74" s="43">
        <v>337.27370000000002</v>
      </c>
      <c r="I74" s="43">
        <v>337.27370000000002</v>
      </c>
      <c r="J74" s="32">
        <v>263.23689999999999</v>
      </c>
      <c r="K74" s="32">
        <v>263.23689999999999</v>
      </c>
    </row>
    <row r="75" spans="1:11" x14ac:dyDescent="0.55000000000000004">
      <c r="D75" s="63" t="s">
        <v>2625</v>
      </c>
      <c r="E75" s="63">
        <f>COUNT(E55:E74)</f>
        <v>20</v>
      </c>
    </row>
    <row r="76" spans="1:11" ht="14.7" thickBot="1" x14ac:dyDescent="0.6"/>
    <row r="77" spans="1:11" ht="15.6" thickBot="1" x14ac:dyDescent="0.6">
      <c r="A77" s="45" t="s">
        <v>2413</v>
      </c>
      <c r="B77" s="46"/>
      <c r="C77" s="46"/>
      <c r="D77" s="46"/>
      <c r="E77" s="46"/>
      <c r="F77" s="46"/>
      <c r="G77" s="46"/>
      <c r="H77" s="46"/>
      <c r="I77" s="46"/>
      <c r="J77" s="47"/>
    </row>
    <row r="78" spans="1:11" ht="19.2" x14ac:dyDescent="0.8">
      <c r="A78" s="15" t="s">
        <v>2283</v>
      </c>
      <c r="B78" s="16" t="s">
        <v>2284</v>
      </c>
      <c r="C78" s="16" t="s">
        <v>2285</v>
      </c>
      <c r="D78" s="16" t="s">
        <v>2286</v>
      </c>
      <c r="E78" s="39" t="s">
        <v>2351</v>
      </c>
      <c r="F78" s="40"/>
      <c r="G78" s="41"/>
      <c r="H78" s="48" t="s">
        <v>2414</v>
      </c>
      <c r="I78" s="48" t="s">
        <v>2415</v>
      </c>
      <c r="J78" s="49" t="s">
        <v>2416</v>
      </c>
    </row>
    <row r="79" spans="1:11" ht="15.6" thickBot="1" x14ac:dyDescent="0.6">
      <c r="A79" s="18"/>
      <c r="B79" s="19"/>
      <c r="C79" s="19"/>
      <c r="D79" s="19"/>
      <c r="E79" s="27" t="s">
        <v>2288</v>
      </c>
      <c r="F79" s="27" t="s">
        <v>2289</v>
      </c>
      <c r="G79" s="27" t="s">
        <v>2290</v>
      </c>
      <c r="H79" s="27" t="s">
        <v>2289</v>
      </c>
      <c r="I79" s="27" t="s">
        <v>2289</v>
      </c>
      <c r="J79" s="28" t="s">
        <v>2289</v>
      </c>
    </row>
    <row r="80" spans="1:11" ht="15.3" x14ac:dyDescent="0.55000000000000004">
      <c r="A80" s="44" t="s">
        <v>2417</v>
      </c>
      <c r="B80" s="44" t="s">
        <v>2418</v>
      </c>
      <c r="C80" s="44">
        <v>32</v>
      </c>
      <c r="D80" s="29">
        <v>15.27</v>
      </c>
      <c r="E80" s="32">
        <v>702.53989999999999</v>
      </c>
      <c r="F80" s="43">
        <v>702.54319999999996</v>
      </c>
      <c r="G80" s="31">
        <f t="shared" ref="G80:G106" si="3">((E80-F80)/F80)*1000000</f>
        <v>-4.697220042792301</v>
      </c>
      <c r="H80" s="33">
        <v>339.2894</v>
      </c>
      <c r="I80" s="33">
        <v>364.2611</v>
      </c>
      <c r="J80" s="32">
        <f t="shared" ref="J80:J106" si="4">F80-141.0185</f>
        <v>561.52469999999994</v>
      </c>
    </row>
    <row r="81" spans="1:10" ht="15.3" x14ac:dyDescent="0.55000000000000004">
      <c r="A81" s="44" t="s">
        <v>2419</v>
      </c>
      <c r="B81" s="44" t="s">
        <v>2420</v>
      </c>
      <c r="C81" s="44">
        <v>30</v>
      </c>
      <c r="D81" s="29">
        <v>14.34</v>
      </c>
      <c r="E81" s="32">
        <v>700.5249</v>
      </c>
      <c r="F81" s="43">
        <v>700.52760000000001</v>
      </c>
      <c r="G81" s="31">
        <f t="shared" si="3"/>
        <v>-3.8542378630112011</v>
      </c>
      <c r="H81" s="33">
        <v>337.27370000000002</v>
      </c>
      <c r="I81" s="33">
        <v>364.2611</v>
      </c>
      <c r="J81" s="32">
        <f t="shared" si="4"/>
        <v>559.50909999999999</v>
      </c>
    </row>
    <row r="82" spans="1:10" ht="15.3" x14ac:dyDescent="0.55000000000000004">
      <c r="A82" s="44" t="s">
        <v>2421</v>
      </c>
      <c r="B82" s="1" t="s">
        <v>2422</v>
      </c>
      <c r="C82" s="44">
        <v>34</v>
      </c>
      <c r="D82" s="29">
        <v>16.25</v>
      </c>
      <c r="E82" s="32">
        <v>730.5752</v>
      </c>
      <c r="F82" s="43">
        <v>730.57449999999994</v>
      </c>
      <c r="G82" s="31">
        <f t="shared" si="3"/>
        <v>0.9581500586889623</v>
      </c>
      <c r="H82" s="33">
        <v>339.2894</v>
      </c>
      <c r="I82" s="33">
        <v>392.29239999999999</v>
      </c>
      <c r="J82" s="32">
        <f t="shared" si="4"/>
        <v>589.55599999999993</v>
      </c>
    </row>
    <row r="83" spans="1:10" ht="15.3" x14ac:dyDescent="0.55000000000000004">
      <c r="A83" s="50" t="s">
        <v>2423</v>
      </c>
      <c r="B83" s="44" t="s">
        <v>2424</v>
      </c>
      <c r="C83" s="44">
        <v>32</v>
      </c>
      <c r="D83" s="29">
        <v>15.27</v>
      </c>
      <c r="E83" s="32">
        <v>728.56179999999995</v>
      </c>
      <c r="F83" s="43">
        <v>728.55889999999999</v>
      </c>
      <c r="G83" s="31">
        <f t="shared" si="3"/>
        <v>3.9804606051125879</v>
      </c>
      <c r="H83" s="33">
        <v>339.2894</v>
      </c>
      <c r="I83" s="33">
        <v>390.27679999999998</v>
      </c>
      <c r="J83" s="32">
        <f t="shared" si="4"/>
        <v>587.54039999999998</v>
      </c>
    </row>
    <row r="84" spans="1:10" ht="15.3" x14ac:dyDescent="0.55000000000000004">
      <c r="A84" s="50"/>
      <c r="B84" s="44" t="s">
        <v>2425</v>
      </c>
      <c r="C84" s="44">
        <v>32</v>
      </c>
      <c r="D84" s="29">
        <v>15.44</v>
      </c>
      <c r="E84" s="32">
        <v>728.56219999999996</v>
      </c>
      <c r="F84" s="43">
        <v>728.55889999999999</v>
      </c>
      <c r="G84" s="31">
        <f t="shared" si="3"/>
        <v>4.5294896541205381</v>
      </c>
      <c r="H84" s="33">
        <v>337.27370000000002</v>
      </c>
      <c r="I84" s="33">
        <v>392.29239999999999</v>
      </c>
      <c r="J84" s="32">
        <f t="shared" si="4"/>
        <v>587.54039999999998</v>
      </c>
    </row>
    <row r="85" spans="1:10" ht="15.3" x14ac:dyDescent="0.55000000000000004">
      <c r="A85" s="50" t="s">
        <v>2426</v>
      </c>
      <c r="B85" s="44" t="s">
        <v>2427</v>
      </c>
      <c r="C85" s="44">
        <v>30</v>
      </c>
      <c r="D85" s="29">
        <v>14.55</v>
      </c>
      <c r="E85" s="32">
        <v>726.54340000000002</v>
      </c>
      <c r="F85" s="51">
        <v>726.54319999999996</v>
      </c>
      <c r="G85" s="31">
        <f t="shared" si="3"/>
        <v>0.27527612957286329</v>
      </c>
      <c r="H85" s="33">
        <v>363.2894</v>
      </c>
      <c r="I85" s="33">
        <v>364.2611</v>
      </c>
      <c r="J85" s="32">
        <f t="shared" si="4"/>
        <v>585.52469999999994</v>
      </c>
    </row>
    <row r="86" spans="1:10" ht="15.3" x14ac:dyDescent="0.55000000000000004">
      <c r="A86" s="50"/>
      <c r="B86" s="44" t="s">
        <v>2428</v>
      </c>
      <c r="C86" s="44">
        <v>30</v>
      </c>
      <c r="D86" s="29">
        <v>14.62</v>
      </c>
      <c r="E86" s="32">
        <v>726.54340000000002</v>
      </c>
      <c r="F86" s="51">
        <v>726.54319999999996</v>
      </c>
      <c r="G86" s="31">
        <f t="shared" si="3"/>
        <v>0.27527612957286329</v>
      </c>
      <c r="H86" s="33">
        <v>335.25810000000001</v>
      </c>
      <c r="I86" s="33">
        <v>392.29239999999999</v>
      </c>
      <c r="J86" s="32">
        <f t="shared" si="4"/>
        <v>585.52469999999994</v>
      </c>
    </row>
    <row r="87" spans="1:10" ht="15.3" x14ac:dyDescent="0.55000000000000004">
      <c r="A87" s="50"/>
      <c r="B87" s="44" t="s">
        <v>2429</v>
      </c>
      <c r="C87" s="44">
        <v>30</v>
      </c>
      <c r="D87" s="29">
        <v>14.38</v>
      </c>
      <c r="E87" s="32">
        <v>726.54660000000001</v>
      </c>
      <c r="F87" s="51">
        <v>726.54319999999996</v>
      </c>
      <c r="G87" s="31">
        <f t="shared" si="3"/>
        <v>4.6796942013303893</v>
      </c>
      <c r="H87" s="33">
        <v>337.27370000000002</v>
      </c>
      <c r="I87" s="33">
        <v>390.27679999999998</v>
      </c>
      <c r="J87" s="32">
        <f t="shared" si="4"/>
        <v>585.52469999999994</v>
      </c>
    </row>
    <row r="88" spans="1:10" ht="15.3" x14ac:dyDescent="0.55000000000000004">
      <c r="A88" s="44" t="s">
        <v>2430</v>
      </c>
      <c r="B88" s="44" t="s">
        <v>2431</v>
      </c>
      <c r="C88" s="44">
        <v>28</v>
      </c>
      <c r="D88" s="29">
        <v>14.05</v>
      </c>
      <c r="E88" s="32">
        <v>724.529</v>
      </c>
      <c r="F88" s="32">
        <v>724.52760000000001</v>
      </c>
      <c r="G88" s="31">
        <f t="shared" si="3"/>
        <v>1.9322935385617219</v>
      </c>
      <c r="H88" s="33">
        <v>361.27370000000002</v>
      </c>
      <c r="I88" s="33">
        <v>364.2611</v>
      </c>
      <c r="J88" s="32">
        <f t="shared" si="4"/>
        <v>583.50909999999999</v>
      </c>
    </row>
    <row r="89" spans="1:10" ht="15.3" x14ac:dyDescent="0.55000000000000004">
      <c r="A89" s="44" t="s">
        <v>2432</v>
      </c>
      <c r="B89" s="44" t="s">
        <v>2433</v>
      </c>
      <c r="C89" s="44">
        <v>26</v>
      </c>
      <c r="D89" s="29">
        <v>13.16</v>
      </c>
      <c r="E89" s="32">
        <v>722.51239999999996</v>
      </c>
      <c r="F89" s="32">
        <v>722.51189999999997</v>
      </c>
      <c r="G89" s="31">
        <f t="shared" si="3"/>
        <v>0.69203012433176059</v>
      </c>
      <c r="H89" s="33">
        <v>359.25810000000001</v>
      </c>
      <c r="I89" s="33">
        <v>364.2611</v>
      </c>
      <c r="J89" s="32">
        <f t="shared" si="4"/>
        <v>581.49339999999995</v>
      </c>
    </row>
    <row r="90" spans="1:10" ht="15.3" x14ac:dyDescent="0.55000000000000004">
      <c r="A90" s="44" t="s">
        <v>2434</v>
      </c>
      <c r="B90" s="44" t="s">
        <v>2435</v>
      </c>
      <c r="C90" s="44">
        <v>36</v>
      </c>
      <c r="D90" s="29">
        <v>17.05</v>
      </c>
      <c r="E90" s="32">
        <v>758.60739999999998</v>
      </c>
      <c r="F90" s="32">
        <v>758.60580000000004</v>
      </c>
      <c r="G90" s="31">
        <f t="shared" si="3"/>
        <v>2.109132305526042</v>
      </c>
      <c r="H90" s="33">
        <v>339.2894</v>
      </c>
      <c r="I90" s="33">
        <v>420.32369999999997</v>
      </c>
      <c r="J90" s="32">
        <f t="shared" si="4"/>
        <v>617.58730000000003</v>
      </c>
    </row>
    <row r="91" spans="1:10" ht="15.3" x14ac:dyDescent="0.55000000000000004">
      <c r="A91" s="44" t="s">
        <v>2436</v>
      </c>
      <c r="B91" s="44" t="s">
        <v>2437</v>
      </c>
      <c r="C91" s="44">
        <v>34</v>
      </c>
      <c r="D91" s="29">
        <v>16.32</v>
      </c>
      <c r="E91" s="32">
        <v>756.59090000000003</v>
      </c>
      <c r="F91" s="32">
        <v>756.59019999999998</v>
      </c>
      <c r="G91" s="31">
        <f t="shared" si="3"/>
        <v>0.92520363077880119</v>
      </c>
      <c r="H91" s="33">
        <v>337.27370000000002</v>
      </c>
      <c r="I91" s="33">
        <v>420.32369999999997</v>
      </c>
      <c r="J91" s="32">
        <f t="shared" si="4"/>
        <v>615.57169999999996</v>
      </c>
    </row>
    <row r="92" spans="1:10" ht="15.3" x14ac:dyDescent="0.55000000000000004">
      <c r="A92" s="44" t="s">
        <v>2438</v>
      </c>
      <c r="B92" s="44" t="s">
        <v>2439</v>
      </c>
      <c r="C92" s="44">
        <v>32</v>
      </c>
      <c r="D92" s="29">
        <v>15.67</v>
      </c>
      <c r="E92" s="32">
        <v>754.57180000000005</v>
      </c>
      <c r="F92" s="32">
        <v>754.57449999999994</v>
      </c>
      <c r="G92" s="31">
        <f t="shared" si="3"/>
        <v>-3.5781755146651242</v>
      </c>
      <c r="H92" s="33">
        <v>363.2894</v>
      </c>
      <c r="I92" s="33">
        <v>392.29239999999999</v>
      </c>
      <c r="J92" s="32">
        <f t="shared" si="4"/>
        <v>613.55599999999993</v>
      </c>
    </row>
    <row r="93" spans="1:10" ht="15.3" x14ac:dyDescent="0.55000000000000004">
      <c r="A93" s="50" t="s">
        <v>2440</v>
      </c>
      <c r="B93" s="44" t="s">
        <v>2441</v>
      </c>
      <c r="C93" s="44">
        <v>30</v>
      </c>
      <c r="D93" s="29">
        <v>15.18</v>
      </c>
      <c r="E93" s="32">
        <v>752.55730000000005</v>
      </c>
      <c r="F93" s="32">
        <v>752.55889999999999</v>
      </c>
      <c r="G93" s="31">
        <f t="shared" si="3"/>
        <v>-2.1260794337020368</v>
      </c>
      <c r="H93" s="33">
        <v>361.27370000000002</v>
      </c>
      <c r="I93" s="33">
        <v>392.29239999999999</v>
      </c>
      <c r="J93" s="32">
        <f t="shared" si="4"/>
        <v>611.54039999999998</v>
      </c>
    </row>
    <row r="94" spans="1:10" ht="15.3" x14ac:dyDescent="0.55000000000000004">
      <c r="A94" s="50"/>
      <c r="B94" s="44" t="s">
        <v>2442</v>
      </c>
      <c r="C94" s="44">
        <v>30</v>
      </c>
      <c r="D94" s="29">
        <v>14.86</v>
      </c>
      <c r="E94" s="32">
        <v>752.55589999999995</v>
      </c>
      <c r="F94" s="32">
        <v>752.55889999999999</v>
      </c>
      <c r="G94" s="31">
        <f t="shared" si="3"/>
        <v>-3.9863989383990361</v>
      </c>
      <c r="H94" s="43">
        <v>389.30500000000001</v>
      </c>
      <c r="I94" s="33">
        <v>364.2611</v>
      </c>
      <c r="J94" s="32">
        <f t="shared" si="4"/>
        <v>611.54039999999998</v>
      </c>
    </row>
    <row r="95" spans="1:10" ht="15.3" x14ac:dyDescent="0.55000000000000004">
      <c r="A95" s="50" t="s">
        <v>2443</v>
      </c>
      <c r="B95" s="44" t="s">
        <v>2444</v>
      </c>
      <c r="C95" s="44">
        <v>28</v>
      </c>
      <c r="D95" s="29">
        <v>14.12</v>
      </c>
      <c r="E95" s="32">
        <v>750.5412</v>
      </c>
      <c r="F95" s="32">
        <v>750.54319999999996</v>
      </c>
      <c r="G95" s="31">
        <f t="shared" si="3"/>
        <v>-2.6647366866460267</v>
      </c>
      <c r="H95" s="33">
        <v>361.27370000000002</v>
      </c>
      <c r="I95" s="33">
        <v>390.27679999999998</v>
      </c>
      <c r="J95" s="32">
        <f t="shared" si="4"/>
        <v>609.52469999999994</v>
      </c>
    </row>
    <row r="96" spans="1:10" ht="15.3" x14ac:dyDescent="0.55000000000000004">
      <c r="A96" s="50"/>
      <c r="B96" s="44" t="s">
        <v>2445</v>
      </c>
      <c r="C96" s="44">
        <v>28</v>
      </c>
      <c r="D96" s="29">
        <v>14.44</v>
      </c>
      <c r="E96" s="32">
        <v>750.53989999999999</v>
      </c>
      <c r="F96" s="32">
        <v>750.54319999999996</v>
      </c>
      <c r="G96" s="31">
        <f t="shared" si="3"/>
        <v>-4.3968155330265333</v>
      </c>
      <c r="H96" s="33">
        <v>359.25810000000001</v>
      </c>
      <c r="I96" s="33">
        <v>392.29239999999999</v>
      </c>
      <c r="J96" s="32">
        <f t="shared" si="4"/>
        <v>609.52469999999994</v>
      </c>
    </row>
    <row r="97" spans="1:10" ht="15.3" x14ac:dyDescent="0.55000000000000004">
      <c r="A97" s="50"/>
      <c r="B97" s="44" t="s">
        <v>2446</v>
      </c>
      <c r="C97" s="44">
        <v>28</v>
      </c>
      <c r="D97" s="29">
        <v>14.04</v>
      </c>
      <c r="E97" s="32">
        <v>750.54480000000001</v>
      </c>
      <c r="F97" s="32">
        <v>750.54319999999996</v>
      </c>
      <c r="G97" s="31">
        <f t="shared" si="3"/>
        <v>2.1317893494379998</v>
      </c>
      <c r="H97" s="33">
        <v>387.2894</v>
      </c>
      <c r="I97" s="33">
        <v>364.2611</v>
      </c>
      <c r="J97" s="32">
        <f t="shared" si="4"/>
        <v>609.52469999999994</v>
      </c>
    </row>
    <row r="98" spans="1:10" ht="15.3" x14ac:dyDescent="0.55000000000000004">
      <c r="A98" s="50" t="s">
        <v>2447</v>
      </c>
      <c r="B98" s="44" t="s">
        <v>2448</v>
      </c>
      <c r="C98" s="44">
        <v>26</v>
      </c>
      <c r="D98" s="33">
        <v>13.15</v>
      </c>
      <c r="E98" s="43">
        <v>748.52449999999999</v>
      </c>
      <c r="F98" s="43">
        <v>748.52760000000001</v>
      </c>
      <c r="G98" s="52">
        <f t="shared" si="3"/>
        <v>-4.1414638551973821</v>
      </c>
      <c r="H98" s="33">
        <v>359.25810000000001</v>
      </c>
      <c r="I98" s="33">
        <v>390.27679999999998</v>
      </c>
      <c r="J98" s="32">
        <f t="shared" si="4"/>
        <v>607.50909999999999</v>
      </c>
    </row>
    <row r="99" spans="1:10" ht="15.3" x14ac:dyDescent="0.55000000000000004">
      <c r="A99" s="50"/>
      <c r="B99" s="44" t="s">
        <v>2449</v>
      </c>
      <c r="C99" s="44">
        <v>26</v>
      </c>
      <c r="D99" s="33">
        <v>13.62</v>
      </c>
      <c r="E99" s="43">
        <v>748.52589999999998</v>
      </c>
      <c r="F99" s="43">
        <v>748.52760000000001</v>
      </c>
      <c r="G99" s="52">
        <f t="shared" si="3"/>
        <v>-2.2711253399714484</v>
      </c>
      <c r="H99" s="33">
        <v>385.27370000000002</v>
      </c>
      <c r="I99" s="33">
        <v>364.2611</v>
      </c>
      <c r="J99" s="32">
        <f t="shared" si="4"/>
        <v>607.50909999999999</v>
      </c>
    </row>
    <row r="100" spans="1:10" ht="15.3" x14ac:dyDescent="0.55000000000000004">
      <c r="A100" s="50" t="s">
        <v>2450</v>
      </c>
      <c r="B100" s="44" t="s">
        <v>2451</v>
      </c>
      <c r="C100" s="44">
        <v>32</v>
      </c>
      <c r="D100" s="33">
        <v>15.91</v>
      </c>
      <c r="E100" s="32">
        <v>780.58900000000006</v>
      </c>
      <c r="F100" s="32">
        <v>780.59019999999998</v>
      </c>
      <c r="G100" s="52">
        <f t="shared" si="3"/>
        <v>-1.5372983159744371</v>
      </c>
      <c r="H100" s="43">
        <v>389.30500000000001</v>
      </c>
      <c r="I100" s="33">
        <v>392.29239999999999</v>
      </c>
      <c r="J100" s="32">
        <f t="shared" si="4"/>
        <v>639.57169999999996</v>
      </c>
    </row>
    <row r="101" spans="1:10" ht="15.3" x14ac:dyDescent="0.55000000000000004">
      <c r="A101" s="50"/>
      <c r="B101" s="44" t="s">
        <v>2452</v>
      </c>
      <c r="C101" s="44">
        <v>32</v>
      </c>
      <c r="D101" s="33">
        <v>16.14</v>
      </c>
      <c r="E101" s="32">
        <v>780.59379999999999</v>
      </c>
      <c r="F101" s="32">
        <v>780.59019999999998</v>
      </c>
      <c r="G101" s="31">
        <f t="shared" si="3"/>
        <v>4.6118949482145952</v>
      </c>
      <c r="H101" s="33">
        <v>361.27370000000002</v>
      </c>
      <c r="I101" s="33">
        <v>420.32369999999997</v>
      </c>
      <c r="J101" s="32">
        <f t="shared" si="4"/>
        <v>639.57169999999996</v>
      </c>
    </row>
    <row r="102" spans="1:10" ht="15.3" x14ac:dyDescent="0.55000000000000004">
      <c r="A102" s="50" t="s">
        <v>2453</v>
      </c>
      <c r="B102" s="44" t="s">
        <v>2454</v>
      </c>
      <c r="C102" s="44">
        <v>30</v>
      </c>
      <c r="D102" s="33">
        <v>15.17</v>
      </c>
      <c r="E102" s="32">
        <v>778.57740000000001</v>
      </c>
      <c r="F102" s="32">
        <v>778.57449999999994</v>
      </c>
      <c r="G102" s="31">
        <f t="shared" si="3"/>
        <v>3.7247559482976245</v>
      </c>
      <c r="H102" s="33">
        <v>387.2894</v>
      </c>
      <c r="I102" s="33">
        <v>392.29239999999999</v>
      </c>
      <c r="J102" s="32">
        <f t="shared" si="4"/>
        <v>637.55599999999993</v>
      </c>
    </row>
    <row r="103" spans="1:10" ht="15.3" x14ac:dyDescent="0.55000000000000004">
      <c r="A103" s="50"/>
      <c r="B103" s="44" t="s">
        <v>2455</v>
      </c>
      <c r="C103" s="44">
        <v>30</v>
      </c>
      <c r="D103" s="53">
        <v>15</v>
      </c>
      <c r="E103" s="32">
        <v>778.57709999999997</v>
      </c>
      <c r="F103" s="32">
        <v>778.57449999999994</v>
      </c>
      <c r="G103" s="31">
        <f t="shared" si="3"/>
        <v>3.3394363673989678</v>
      </c>
      <c r="H103" s="43">
        <v>389.30500000000001</v>
      </c>
      <c r="I103" s="33">
        <v>390.27679999999998</v>
      </c>
      <c r="J103" s="32">
        <f t="shared" si="4"/>
        <v>637.55599999999993</v>
      </c>
    </row>
    <row r="104" spans="1:10" ht="15.3" x14ac:dyDescent="0.55000000000000004">
      <c r="A104" s="50"/>
      <c r="B104" s="44" t="s">
        <v>2456</v>
      </c>
      <c r="C104" s="44">
        <v>30</v>
      </c>
      <c r="D104" s="33">
        <v>15.17</v>
      </c>
      <c r="E104" s="32">
        <v>778.57740000000001</v>
      </c>
      <c r="F104" s="32">
        <v>778.57449999999994</v>
      </c>
      <c r="G104" s="31">
        <f t="shared" si="3"/>
        <v>3.7247559482976245</v>
      </c>
      <c r="H104" s="33">
        <v>361.27370000000002</v>
      </c>
      <c r="I104" s="43">
        <v>418.30810000000002</v>
      </c>
      <c r="J104" s="32">
        <f t="shared" si="4"/>
        <v>637.55599999999993</v>
      </c>
    </row>
    <row r="105" spans="1:10" ht="15.3" x14ac:dyDescent="0.55000000000000004">
      <c r="A105" s="50" t="s">
        <v>2457</v>
      </c>
      <c r="B105" s="44" t="s">
        <v>2458</v>
      </c>
      <c r="C105" s="44">
        <v>28</v>
      </c>
      <c r="D105" s="33">
        <v>14.11</v>
      </c>
      <c r="E105" s="32">
        <v>776.55920000000003</v>
      </c>
      <c r="F105" s="32">
        <v>776.55889999999999</v>
      </c>
      <c r="G105" s="31">
        <f t="shared" si="3"/>
        <v>0.38631969840070168</v>
      </c>
      <c r="H105" s="33">
        <v>387.2894</v>
      </c>
      <c r="I105" s="33">
        <v>390.27679999999998</v>
      </c>
      <c r="J105" s="32">
        <f t="shared" si="4"/>
        <v>635.54039999999998</v>
      </c>
    </row>
    <row r="106" spans="1:10" ht="15.3" x14ac:dyDescent="0.55000000000000004">
      <c r="A106" s="50"/>
      <c r="B106" s="44" t="s">
        <v>2459</v>
      </c>
      <c r="C106" s="44">
        <v>28</v>
      </c>
      <c r="D106" s="33">
        <v>13.71</v>
      </c>
      <c r="E106" s="32">
        <v>776.55849999999998</v>
      </c>
      <c r="F106" s="32">
        <v>776.55889999999999</v>
      </c>
      <c r="G106" s="31">
        <f t="shared" si="3"/>
        <v>-0.51509293115213628</v>
      </c>
      <c r="H106" s="33">
        <v>385.27370000000002</v>
      </c>
      <c r="I106" s="33">
        <v>392.29239999999999</v>
      </c>
      <c r="J106" s="32">
        <f t="shared" si="4"/>
        <v>635.54039999999998</v>
      </c>
    </row>
    <row r="107" spans="1:10" x14ac:dyDescent="0.55000000000000004">
      <c r="D107" s="63" t="s">
        <v>2625</v>
      </c>
      <c r="E107" s="63">
        <f>COUNT(E80:E106)</f>
        <v>27</v>
      </c>
    </row>
    <row r="110" spans="1:10" ht="14.7" thickBot="1" x14ac:dyDescent="0.6"/>
    <row r="111" spans="1:10" ht="15.3" thickBot="1" x14ac:dyDescent="0.6">
      <c r="A111" s="12" t="s">
        <v>2460</v>
      </c>
      <c r="B111" s="13"/>
      <c r="C111" s="13"/>
      <c r="D111" s="13"/>
      <c r="E111" s="13"/>
      <c r="F111" s="13"/>
      <c r="G111" s="13"/>
      <c r="H111" s="14"/>
    </row>
    <row r="112" spans="1:10" ht="18.600000000000001" x14ac:dyDescent="0.55000000000000004">
      <c r="A112" s="15" t="s">
        <v>2283</v>
      </c>
      <c r="B112" s="16" t="s">
        <v>2284</v>
      </c>
      <c r="C112" s="16" t="s">
        <v>2285</v>
      </c>
      <c r="D112" s="16" t="s">
        <v>2286</v>
      </c>
      <c r="E112" s="39" t="s">
        <v>2461</v>
      </c>
      <c r="F112" s="40"/>
      <c r="G112" s="41"/>
      <c r="H112" s="26" t="s">
        <v>2462</v>
      </c>
    </row>
    <row r="113" spans="1:8" ht="15.3" thickBot="1" x14ac:dyDescent="0.6">
      <c r="A113" s="18"/>
      <c r="B113" s="19"/>
      <c r="C113" s="19"/>
      <c r="D113" s="19"/>
      <c r="E113" s="20" t="s">
        <v>2288</v>
      </c>
      <c r="F113" s="20" t="s">
        <v>2289</v>
      </c>
      <c r="G113" s="20" t="s">
        <v>2290</v>
      </c>
      <c r="H113" s="21" t="s">
        <v>2289</v>
      </c>
    </row>
    <row r="114" spans="1:8" ht="15.3" x14ac:dyDescent="0.55000000000000004">
      <c r="A114" s="29" t="s">
        <v>2463</v>
      </c>
      <c r="B114" s="29" t="s">
        <v>2463</v>
      </c>
      <c r="C114" s="29">
        <v>16</v>
      </c>
      <c r="D114" s="29">
        <v>20.62</v>
      </c>
      <c r="E114" s="54">
        <v>642.62049999999999</v>
      </c>
      <c r="F114" s="2">
        <v>642.61829999999998</v>
      </c>
      <c r="G114" s="31">
        <f t="shared" ref="G114:G126" si="5">((E114-F114)/F114)*1000000</f>
        <v>3.4234941644459691</v>
      </c>
      <c r="H114" s="32">
        <v>369.35160000000002</v>
      </c>
    </row>
    <row r="115" spans="1:8" ht="15.3" x14ac:dyDescent="0.55000000000000004">
      <c r="A115" s="29" t="s">
        <v>2464</v>
      </c>
      <c r="B115" s="29" t="s">
        <v>2464</v>
      </c>
      <c r="C115" s="29">
        <v>14</v>
      </c>
      <c r="D115" s="29">
        <v>20.07</v>
      </c>
      <c r="E115" s="2">
        <v>640.60180000000003</v>
      </c>
      <c r="F115" s="2">
        <v>640.60270000000003</v>
      </c>
      <c r="G115" s="31">
        <f t="shared" si="5"/>
        <v>-1.404926953947361</v>
      </c>
      <c r="H115" s="32">
        <v>369.35160000000002</v>
      </c>
    </row>
    <row r="116" spans="1:8" ht="15.3" x14ac:dyDescent="0.55000000000000004">
      <c r="A116" s="29" t="s">
        <v>2465</v>
      </c>
      <c r="B116" s="29" t="s">
        <v>2465</v>
      </c>
      <c r="C116" s="29">
        <v>18</v>
      </c>
      <c r="D116" s="29">
        <v>21.06</v>
      </c>
      <c r="E116" s="2">
        <v>670.65039999999999</v>
      </c>
      <c r="F116" s="2">
        <v>670.64959999999996</v>
      </c>
      <c r="G116" s="31">
        <f t="shared" si="5"/>
        <v>1.1928732978094034</v>
      </c>
      <c r="H116" s="32">
        <v>369.35160000000002</v>
      </c>
    </row>
    <row r="117" spans="1:8" ht="15.3" x14ac:dyDescent="0.55000000000000004">
      <c r="A117" s="29" t="s">
        <v>2466</v>
      </c>
      <c r="B117" s="29" t="s">
        <v>2466</v>
      </c>
      <c r="C117" s="29">
        <v>16</v>
      </c>
      <c r="D117" s="29">
        <v>20.55</v>
      </c>
      <c r="E117" s="2">
        <v>668.63559999999995</v>
      </c>
      <c r="F117" s="2">
        <v>668.63400000000001</v>
      </c>
      <c r="G117" s="31">
        <f t="shared" si="5"/>
        <v>2.392938438576901</v>
      </c>
      <c r="H117" s="32">
        <v>369.35160000000002</v>
      </c>
    </row>
    <row r="118" spans="1:8" ht="15.3" x14ac:dyDescent="0.55000000000000004">
      <c r="A118" s="29" t="s">
        <v>2467</v>
      </c>
      <c r="B118" s="29" t="s">
        <v>2467</v>
      </c>
      <c r="C118" s="29">
        <v>14</v>
      </c>
      <c r="D118" s="29">
        <v>20.09</v>
      </c>
      <c r="E118" s="2">
        <v>666.61929999999995</v>
      </c>
      <c r="F118" s="2">
        <v>666.61829999999998</v>
      </c>
      <c r="G118" s="31">
        <f t="shared" si="5"/>
        <v>1.5001088328603538</v>
      </c>
      <c r="H118" s="32">
        <v>369.35160000000002</v>
      </c>
    </row>
    <row r="119" spans="1:8" ht="15.3" x14ac:dyDescent="0.55000000000000004">
      <c r="A119" s="29" t="s">
        <v>2468</v>
      </c>
      <c r="B119" s="29" t="s">
        <v>2468</v>
      </c>
      <c r="C119" s="29">
        <v>12</v>
      </c>
      <c r="D119" s="29">
        <v>19.64</v>
      </c>
      <c r="E119" s="2">
        <v>664.60360000000003</v>
      </c>
      <c r="F119" s="2">
        <v>664.60270000000003</v>
      </c>
      <c r="G119" s="31">
        <f t="shared" si="5"/>
        <v>1.3541925123106711</v>
      </c>
      <c r="H119" s="32">
        <v>369.35160000000002</v>
      </c>
    </row>
    <row r="120" spans="1:8" ht="15.3" x14ac:dyDescent="0.55000000000000004">
      <c r="A120" s="29" t="s">
        <v>2469</v>
      </c>
      <c r="B120" s="29" t="s">
        <v>2469</v>
      </c>
      <c r="C120" s="29">
        <v>16</v>
      </c>
      <c r="D120" s="29">
        <v>20.54</v>
      </c>
      <c r="E120" s="2">
        <v>694.65060000000005</v>
      </c>
      <c r="F120" s="2">
        <v>694.64959999999996</v>
      </c>
      <c r="G120" s="31">
        <f t="shared" si="5"/>
        <v>1.4395747152089917</v>
      </c>
      <c r="H120" s="32">
        <v>369.35160000000002</v>
      </c>
    </row>
    <row r="121" spans="1:8" ht="15.3" x14ac:dyDescent="0.55000000000000004">
      <c r="A121" s="29" t="s">
        <v>2470</v>
      </c>
      <c r="B121" s="29" t="s">
        <v>2470</v>
      </c>
      <c r="C121" s="29">
        <v>14</v>
      </c>
      <c r="D121" s="29">
        <v>20.14</v>
      </c>
      <c r="E121" s="2">
        <v>692.63570000000004</v>
      </c>
      <c r="F121" s="2">
        <v>692.63400000000001</v>
      </c>
      <c r="G121" s="31">
        <f t="shared" si="5"/>
        <v>2.4543987156680331</v>
      </c>
      <c r="H121" s="32">
        <v>369.35160000000002</v>
      </c>
    </row>
    <row r="122" spans="1:8" ht="15.3" x14ac:dyDescent="0.55000000000000004">
      <c r="A122" s="29" t="s">
        <v>2471</v>
      </c>
      <c r="B122" s="29" t="s">
        <v>2471</v>
      </c>
      <c r="C122" s="29">
        <v>12</v>
      </c>
      <c r="D122" s="29">
        <v>19.77</v>
      </c>
      <c r="E122" s="2">
        <v>690.61980000000005</v>
      </c>
      <c r="F122" s="2">
        <v>690.61829999999998</v>
      </c>
      <c r="G122" s="31">
        <f t="shared" si="5"/>
        <v>2.171966772496785</v>
      </c>
      <c r="H122" s="32">
        <v>369.35160000000002</v>
      </c>
    </row>
    <row r="123" spans="1:8" ht="15.3" x14ac:dyDescent="0.55000000000000004">
      <c r="A123" s="29" t="s">
        <v>2472</v>
      </c>
      <c r="B123" s="29" t="s">
        <v>2472</v>
      </c>
      <c r="C123" s="29">
        <v>10</v>
      </c>
      <c r="D123" s="30">
        <v>19.3</v>
      </c>
      <c r="E123" s="2">
        <v>688.6046</v>
      </c>
      <c r="F123" s="2">
        <v>688.60270000000003</v>
      </c>
      <c r="G123" s="31">
        <f t="shared" si="5"/>
        <v>2.759210790166533</v>
      </c>
      <c r="H123" s="32">
        <v>369.35160000000002</v>
      </c>
    </row>
    <row r="124" spans="1:8" ht="15.3" x14ac:dyDescent="0.55000000000000004">
      <c r="A124" s="29" t="s">
        <v>2473</v>
      </c>
      <c r="B124" s="29" t="s">
        <v>2473</v>
      </c>
      <c r="C124" s="29">
        <v>14</v>
      </c>
      <c r="D124" s="29">
        <v>20.18</v>
      </c>
      <c r="E124" s="2">
        <v>718.65189999999996</v>
      </c>
      <c r="F124" s="2">
        <v>718.64959999999996</v>
      </c>
      <c r="G124" s="31">
        <f t="shared" si="5"/>
        <v>3.2004470606970168</v>
      </c>
      <c r="H124" s="32">
        <v>369.35160000000002</v>
      </c>
    </row>
    <row r="125" spans="1:8" ht="15.3" x14ac:dyDescent="0.55000000000000004">
      <c r="A125" s="29" t="s">
        <v>2474</v>
      </c>
      <c r="B125" s="29" t="s">
        <v>2474</v>
      </c>
      <c r="C125" s="29">
        <v>12</v>
      </c>
      <c r="D125" s="29">
        <v>19.73</v>
      </c>
      <c r="E125" s="2">
        <v>716.63729999999998</v>
      </c>
      <c r="F125" s="2">
        <v>716.63400000000001</v>
      </c>
      <c r="G125" s="31">
        <f t="shared" si="5"/>
        <v>4.6048610587377103</v>
      </c>
      <c r="H125" s="32">
        <v>369.35160000000002</v>
      </c>
    </row>
    <row r="126" spans="1:8" ht="15.3" x14ac:dyDescent="0.55000000000000004">
      <c r="A126" s="29" t="s">
        <v>2475</v>
      </c>
      <c r="B126" s="29" t="s">
        <v>2475</v>
      </c>
      <c r="C126" s="29">
        <v>10</v>
      </c>
      <c r="D126" s="29">
        <v>19.46</v>
      </c>
      <c r="E126" s="2">
        <v>714.61969999999997</v>
      </c>
      <c r="F126" s="2">
        <v>714.61829999999998</v>
      </c>
      <c r="G126" s="31">
        <f t="shared" si="5"/>
        <v>1.9590878095196158</v>
      </c>
      <c r="H126" s="32">
        <v>369.35160000000002</v>
      </c>
    </row>
    <row r="127" spans="1:8" x14ac:dyDescent="0.55000000000000004">
      <c r="D127" s="63" t="s">
        <v>2625</v>
      </c>
      <c r="E127" s="63">
        <f>COUNT(E114:E126)</f>
        <v>13</v>
      </c>
    </row>
    <row r="128" spans="1:8" ht="14.7" thickBot="1" x14ac:dyDescent="0.6"/>
    <row r="129" spans="1:13" ht="15.6" thickBot="1" x14ac:dyDescent="0.6">
      <c r="A129" s="55" t="s">
        <v>2476</v>
      </c>
      <c r="B129" s="56"/>
      <c r="C129" s="56"/>
      <c r="D129" s="56"/>
      <c r="E129" s="56"/>
      <c r="F129" s="56"/>
      <c r="G129" s="56"/>
      <c r="H129" s="56"/>
      <c r="I129" s="56"/>
      <c r="J129" s="56"/>
      <c r="K129" s="56"/>
      <c r="L129" s="56"/>
      <c r="M129" s="57"/>
    </row>
    <row r="130" spans="1:13" ht="18.600000000000001" x14ac:dyDescent="0.55000000000000004">
      <c r="A130" s="15" t="s">
        <v>2283</v>
      </c>
      <c r="B130" s="16" t="s">
        <v>2284</v>
      </c>
      <c r="C130" s="16" t="s">
        <v>2285</v>
      </c>
      <c r="D130" s="16" t="s">
        <v>2286</v>
      </c>
      <c r="E130" s="39" t="s">
        <v>2461</v>
      </c>
      <c r="F130" s="40"/>
      <c r="G130" s="41"/>
      <c r="H130" s="16" t="s">
        <v>2477</v>
      </c>
      <c r="I130" s="16"/>
      <c r="J130" s="16"/>
      <c r="K130" s="58" t="s">
        <v>2478</v>
      </c>
      <c r="L130" s="58" t="s">
        <v>2479</v>
      </c>
      <c r="M130" s="59" t="s">
        <v>2480</v>
      </c>
    </row>
    <row r="131" spans="1:13" ht="15.3" thickBot="1" x14ac:dyDescent="0.6">
      <c r="A131" s="18"/>
      <c r="B131" s="19"/>
      <c r="C131" s="19"/>
      <c r="D131" s="19"/>
      <c r="E131" s="20" t="s">
        <v>2288</v>
      </c>
      <c r="F131" s="20" t="s">
        <v>2289</v>
      </c>
      <c r="G131" s="20" t="s">
        <v>2290</v>
      </c>
      <c r="H131" s="20" t="s">
        <v>2288</v>
      </c>
      <c r="I131" s="20" t="s">
        <v>2289</v>
      </c>
      <c r="J131" s="20" t="s">
        <v>2290</v>
      </c>
      <c r="K131" s="20" t="s">
        <v>2289</v>
      </c>
      <c r="L131" s="20" t="s">
        <v>2289</v>
      </c>
      <c r="M131" s="21" t="s">
        <v>2289</v>
      </c>
    </row>
    <row r="132" spans="1:13" ht="15.3" x14ac:dyDescent="0.55000000000000004">
      <c r="A132" s="1" t="s">
        <v>2481</v>
      </c>
      <c r="B132" s="33" t="s">
        <v>2482</v>
      </c>
      <c r="C132" s="29">
        <v>42</v>
      </c>
      <c r="D132" s="29">
        <v>19.010000000000002</v>
      </c>
      <c r="E132" s="32">
        <v>740.67830000000004</v>
      </c>
      <c r="F132" s="32">
        <v>740.67629999999997</v>
      </c>
      <c r="G132" s="31">
        <f t="shared" ref="G132:G195" si="6">((E132-F132)/F132)*1000000</f>
        <v>2.7002349070253673</v>
      </c>
      <c r="H132" s="32">
        <v>745.63149999999996</v>
      </c>
      <c r="I132" s="60">
        <v>745.63170000000002</v>
      </c>
      <c r="J132" s="31">
        <f>((H132-I132)/I132)*1000000</f>
        <v>-0.26822893938586934</v>
      </c>
      <c r="K132" s="54">
        <v>523.47209999999995</v>
      </c>
      <c r="L132" s="54">
        <v>495.44080000000002</v>
      </c>
      <c r="M132" s="54">
        <v>467.40949999999998</v>
      </c>
    </row>
    <row r="133" spans="1:13" ht="15.3" x14ac:dyDescent="0.55000000000000004">
      <c r="A133" s="1" t="s">
        <v>2483</v>
      </c>
      <c r="B133" s="33" t="s">
        <v>2484</v>
      </c>
      <c r="C133" s="29">
        <v>40</v>
      </c>
      <c r="D133" s="29">
        <v>18.45</v>
      </c>
      <c r="E133" s="32">
        <v>738.66300000000001</v>
      </c>
      <c r="F133" s="32">
        <v>738.66060000000004</v>
      </c>
      <c r="G133" s="31">
        <f t="shared" si="6"/>
        <v>3.2491241579231174</v>
      </c>
      <c r="H133" s="32">
        <v>743.6191</v>
      </c>
      <c r="I133" s="60">
        <v>743.61599999999999</v>
      </c>
      <c r="J133" s="31">
        <f t="shared" ref="J133:J223" si="7">((H133-I133)/I133)*1000000</f>
        <v>4.1688183148528868</v>
      </c>
      <c r="K133" s="54">
        <v>521.45640000000003</v>
      </c>
      <c r="L133" s="54">
        <v>521.45640000000003</v>
      </c>
      <c r="M133" s="54">
        <v>439.37819999999999</v>
      </c>
    </row>
    <row r="134" spans="1:13" ht="15.3" x14ac:dyDescent="0.55000000000000004">
      <c r="A134" s="29" t="s">
        <v>2485</v>
      </c>
      <c r="B134" s="33" t="s">
        <v>2356</v>
      </c>
      <c r="C134" s="29">
        <v>38</v>
      </c>
      <c r="D134" s="29">
        <v>17.88</v>
      </c>
      <c r="E134" s="32">
        <v>736.64580000000001</v>
      </c>
      <c r="F134" s="32">
        <v>736.64499999999998</v>
      </c>
      <c r="G134" s="31">
        <f t="shared" si="6"/>
        <v>1.0860047920321962</v>
      </c>
      <c r="H134" s="32">
        <v>741.59780000000001</v>
      </c>
      <c r="I134" s="60">
        <v>741.60040000000004</v>
      </c>
      <c r="J134" s="31">
        <f t="shared" si="7"/>
        <v>-3.5059312266140465</v>
      </c>
      <c r="K134" s="2">
        <v>439.37819999999999</v>
      </c>
      <c r="L134" s="2">
        <v>519.44079999999997</v>
      </c>
      <c r="M134" s="2">
        <v>519.44079999999997</v>
      </c>
    </row>
    <row r="135" spans="1:13" ht="15.3" x14ac:dyDescent="0.55000000000000004">
      <c r="A135" s="1" t="s">
        <v>2486</v>
      </c>
      <c r="B135" s="33" t="s">
        <v>2487</v>
      </c>
      <c r="C135" s="29">
        <v>44</v>
      </c>
      <c r="D135" s="29">
        <v>19.579999999999998</v>
      </c>
      <c r="E135" s="32">
        <v>768.71010000000001</v>
      </c>
      <c r="F135" s="32">
        <v>768.70759999999996</v>
      </c>
      <c r="G135" s="31">
        <f t="shared" si="6"/>
        <v>3.2522118944245766</v>
      </c>
      <c r="H135" s="32">
        <v>773.66489999999999</v>
      </c>
      <c r="I135" s="60">
        <v>773.66300000000001</v>
      </c>
      <c r="J135" s="31">
        <f t="shared" si="7"/>
        <v>2.4558496399308334</v>
      </c>
      <c r="K135" s="2">
        <v>495.44080000000002</v>
      </c>
      <c r="L135" s="2">
        <v>523.47209999999995</v>
      </c>
      <c r="M135" s="2">
        <v>523.47209999999995</v>
      </c>
    </row>
    <row r="136" spans="1:13" ht="15.3" x14ac:dyDescent="0.55000000000000004">
      <c r="A136" s="8" t="s">
        <v>2488</v>
      </c>
      <c r="B136" s="33" t="s">
        <v>2489</v>
      </c>
      <c r="C136" s="29">
        <v>42</v>
      </c>
      <c r="D136" s="29">
        <v>19.010000000000002</v>
      </c>
      <c r="E136" s="32">
        <v>766.69460000000004</v>
      </c>
      <c r="F136" s="32">
        <v>766.69190000000003</v>
      </c>
      <c r="G136" s="31">
        <f t="shared" si="6"/>
        <v>3.5216232231022206</v>
      </c>
      <c r="H136" s="32">
        <v>771.64949999999999</v>
      </c>
      <c r="I136" s="60">
        <v>771.64729999999997</v>
      </c>
      <c r="J136" s="31">
        <f t="shared" si="7"/>
        <v>2.851043475453344</v>
      </c>
      <c r="K136" s="2">
        <v>521.45640000000003</v>
      </c>
      <c r="L136" s="2">
        <v>467.40949999999998</v>
      </c>
      <c r="M136" s="2">
        <v>549.48770000000002</v>
      </c>
    </row>
    <row r="137" spans="1:13" ht="15.3" x14ac:dyDescent="0.55000000000000004">
      <c r="A137" s="8"/>
      <c r="B137" s="33" t="s">
        <v>2490</v>
      </c>
      <c r="C137" s="29">
        <v>42</v>
      </c>
      <c r="D137" s="29">
        <v>19.010000000000002</v>
      </c>
      <c r="E137" s="32">
        <v>766.69460000000004</v>
      </c>
      <c r="F137" s="32">
        <v>766.69190000000003</v>
      </c>
      <c r="G137" s="31">
        <f t="shared" si="6"/>
        <v>3.5216232231022206</v>
      </c>
      <c r="H137" s="32">
        <v>771.64949999999999</v>
      </c>
      <c r="I137" s="60">
        <v>771.64729999999997</v>
      </c>
      <c r="J137" s="31">
        <f t="shared" si="7"/>
        <v>2.851043475453344</v>
      </c>
      <c r="K137" s="2">
        <v>495.44080000000002</v>
      </c>
      <c r="L137" s="2">
        <v>521.45640000000003</v>
      </c>
      <c r="M137" s="2">
        <v>521.45640000000003</v>
      </c>
    </row>
    <row r="138" spans="1:13" ht="15.3" x14ac:dyDescent="0.55000000000000004">
      <c r="A138" s="1" t="s">
        <v>2491</v>
      </c>
      <c r="B138" s="33" t="s">
        <v>2492</v>
      </c>
      <c r="C138" s="29">
        <v>40</v>
      </c>
      <c r="D138" s="29">
        <v>18.510000000000002</v>
      </c>
      <c r="E138" s="32">
        <v>764.67989999999998</v>
      </c>
      <c r="F138" s="32">
        <v>764.67629999999997</v>
      </c>
      <c r="G138" s="31">
        <f t="shared" si="6"/>
        <v>4.7078744300115236</v>
      </c>
      <c r="H138" s="32">
        <v>769.63400000000001</v>
      </c>
      <c r="I138" s="60">
        <v>769.63170000000002</v>
      </c>
      <c r="J138" s="31">
        <f t="shared" si="7"/>
        <v>2.9884423939282736</v>
      </c>
      <c r="K138" s="2">
        <v>519.44079999999997</v>
      </c>
      <c r="L138" s="2">
        <v>467.40949999999998</v>
      </c>
      <c r="M138" s="2">
        <v>547.47209999999995</v>
      </c>
    </row>
    <row r="139" spans="1:13" ht="15.3" x14ac:dyDescent="0.55000000000000004">
      <c r="A139" s="1" t="s">
        <v>2493</v>
      </c>
      <c r="B139" s="33" t="s">
        <v>2494</v>
      </c>
      <c r="C139" s="29">
        <v>46</v>
      </c>
      <c r="D139" s="29">
        <v>19.989999999999998</v>
      </c>
      <c r="E139" s="32">
        <v>796.74189999999999</v>
      </c>
      <c r="F139" s="32">
        <v>796.73889999999994</v>
      </c>
      <c r="G139" s="31">
        <f t="shared" si="6"/>
        <v>3.7653489744792759</v>
      </c>
      <c r="H139" s="32">
        <v>801.69569999999999</v>
      </c>
      <c r="I139" s="60">
        <v>801.6943</v>
      </c>
      <c r="J139" s="31">
        <f t="shared" si="7"/>
        <v>1.7463015515884692</v>
      </c>
      <c r="K139" s="2">
        <v>523.47209999999995</v>
      </c>
      <c r="L139" s="2">
        <v>523.47209999999995</v>
      </c>
      <c r="M139" s="2">
        <v>551.50340000000006</v>
      </c>
    </row>
    <row r="140" spans="1:13" ht="15.3" x14ac:dyDescent="0.55000000000000004">
      <c r="A140" s="8" t="s">
        <v>2495</v>
      </c>
      <c r="B140" s="33" t="s">
        <v>2496</v>
      </c>
      <c r="C140" s="29">
        <v>44</v>
      </c>
      <c r="D140" s="29">
        <v>19.489999999999998</v>
      </c>
      <c r="E140" s="32">
        <v>794.7269</v>
      </c>
      <c r="F140" s="32">
        <v>794.72320000000002</v>
      </c>
      <c r="G140" s="31">
        <f t="shared" si="6"/>
        <v>4.6557090569153115</v>
      </c>
      <c r="H140" s="32">
        <v>799.68169999999998</v>
      </c>
      <c r="I140" s="60">
        <v>799.67859999999996</v>
      </c>
      <c r="J140" s="31">
        <f t="shared" si="7"/>
        <v>3.8765574069603019</v>
      </c>
      <c r="K140" s="54">
        <v>521.45640000000003</v>
      </c>
      <c r="L140" s="2">
        <v>495.44080000000002</v>
      </c>
      <c r="M140" s="54">
        <v>577.51900000000001</v>
      </c>
    </row>
    <row r="141" spans="1:13" ht="15.3" x14ac:dyDescent="0.55000000000000004">
      <c r="A141" s="8"/>
      <c r="B141" s="33" t="s">
        <v>2497</v>
      </c>
      <c r="C141" s="29">
        <v>44</v>
      </c>
      <c r="D141" s="29">
        <v>19.510000000000002</v>
      </c>
      <c r="E141" s="32">
        <v>794.7269</v>
      </c>
      <c r="F141" s="32">
        <v>794.72320000000002</v>
      </c>
      <c r="G141" s="31">
        <f t="shared" si="6"/>
        <v>4.6557090569153115</v>
      </c>
      <c r="H141" s="32">
        <v>799.68169999999998</v>
      </c>
      <c r="I141" s="60">
        <v>799.67859999999996</v>
      </c>
      <c r="J141" s="31">
        <f t="shared" si="7"/>
        <v>3.8765574069603019</v>
      </c>
      <c r="K141" s="54">
        <v>521.45640000000003</v>
      </c>
      <c r="L141" s="2">
        <v>523.47209999999995</v>
      </c>
      <c r="M141" s="54">
        <v>549.48770000000002</v>
      </c>
    </row>
    <row r="142" spans="1:13" ht="15.3" x14ac:dyDescent="0.55000000000000004">
      <c r="A142" s="8" t="s">
        <v>2498</v>
      </c>
      <c r="B142" s="33" t="s">
        <v>2499</v>
      </c>
      <c r="C142" s="29">
        <v>42</v>
      </c>
      <c r="D142" s="29">
        <v>19.010000000000002</v>
      </c>
      <c r="E142" s="32">
        <v>792.7106</v>
      </c>
      <c r="F142" s="32">
        <v>792.70759999999996</v>
      </c>
      <c r="G142" s="31">
        <f t="shared" si="6"/>
        <v>3.7844975878151623</v>
      </c>
      <c r="H142" s="32">
        <v>797.66650000000004</v>
      </c>
      <c r="I142" s="60">
        <v>797.66300000000001</v>
      </c>
      <c r="J142" s="31">
        <f t="shared" si="7"/>
        <v>4.387817913117348</v>
      </c>
      <c r="K142" s="2">
        <v>519.44079999999997</v>
      </c>
      <c r="L142" s="2">
        <v>495.44080000000002</v>
      </c>
      <c r="M142" s="2">
        <v>575.50340000000006</v>
      </c>
    </row>
    <row r="143" spans="1:13" ht="15.3" x14ac:dyDescent="0.55000000000000004">
      <c r="A143" s="8"/>
      <c r="B143" s="33" t="s">
        <v>2500</v>
      </c>
      <c r="C143" s="29">
        <v>42</v>
      </c>
      <c r="D143" s="29">
        <v>19.010000000000002</v>
      </c>
      <c r="E143" s="32">
        <v>792.7106</v>
      </c>
      <c r="F143" s="32">
        <v>792.70759999999996</v>
      </c>
      <c r="G143" s="31">
        <f t="shared" si="6"/>
        <v>3.7844975878151623</v>
      </c>
      <c r="H143" s="32">
        <v>797.66650000000004</v>
      </c>
      <c r="I143" s="60">
        <v>797.66300000000001</v>
      </c>
      <c r="J143" s="31">
        <f t="shared" si="7"/>
        <v>4.387817913117348</v>
      </c>
      <c r="K143" s="2">
        <v>547.47209999999995</v>
      </c>
      <c r="L143" s="2">
        <v>547.47209999999995</v>
      </c>
      <c r="M143" s="2">
        <v>495.44080000000002</v>
      </c>
    </row>
    <row r="144" spans="1:13" ht="15.3" x14ac:dyDescent="0.55000000000000004">
      <c r="A144" s="8"/>
      <c r="B144" s="33" t="s">
        <v>2501</v>
      </c>
      <c r="C144" s="29">
        <v>42</v>
      </c>
      <c r="D144" s="29">
        <v>19.010000000000002</v>
      </c>
      <c r="E144" s="32">
        <v>792.7106</v>
      </c>
      <c r="F144" s="32">
        <v>792.70759999999996</v>
      </c>
      <c r="G144" s="31">
        <f t="shared" si="6"/>
        <v>3.7844975878151623</v>
      </c>
      <c r="H144" s="32">
        <v>797.66650000000004</v>
      </c>
      <c r="I144" s="60">
        <v>797.66300000000001</v>
      </c>
      <c r="J144" s="31">
        <f t="shared" si="7"/>
        <v>4.387817913117348</v>
      </c>
      <c r="K144" s="2">
        <v>493.42509999999999</v>
      </c>
      <c r="L144" s="2">
        <v>493.42509999999999</v>
      </c>
      <c r="M144" s="2">
        <v>603.53470000000004</v>
      </c>
    </row>
    <row r="145" spans="1:13" ht="15.3" x14ac:dyDescent="0.55000000000000004">
      <c r="A145" s="29" t="s">
        <v>2502</v>
      </c>
      <c r="B145" s="33" t="s">
        <v>2356</v>
      </c>
      <c r="C145" s="29">
        <v>40</v>
      </c>
      <c r="D145" s="29">
        <v>18.64</v>
      </c>
      <c r="E145" s="32">
        <v>790.69569999999999</v>
      </c>
      <c r="F145" s="32">
        <v>790.69190000000003</v>
      </c>
      <c r="G145" s="31">
        <f t="shared" si="6"/>
        <v>4.805917450217482</v>
      </c>
      <c r="H145" s="32">
        <v>795.65060000000005</v>
      </c>
      <c r="I145" s="60">
        <v>795.64729999999997</v>
      </c>
      <c r="J145" s="31">
        <f t="shared" si="7"/>
        <v>4.1475663903856983</v>
      </c>
      <c r="K145" s="2" t="s">
        <v>2503</v>
      </c>
      <c r="L145" s="2" t="s">
        <v>2356</v>
      </c>
      <c r="M145" s="2" t="s">
        <v>2356</v>
      </c>
    </row>
    <row r="146" spans="1:13" ht="15.3" x14ac:dyDescent="0.55000000000000004">
      <c r="A146" s="8" t="s">
        <v>2504</v>
      </c>
      <c r="B146" s="33" t="s">
        <v>2505</v>
      </c>
      <c r="C146" s="29">
        <v>48</v>
      </c>
      <c r="D146" s="29">
        <v>20.43</v>
      </c>
      <c r="E146" s="32">
        <v>824.77329999999995</v>
      </c>
      <c r="F146" s="32">
        <v>824.77020000000005</v>
      </c>
      <c r="G146" s="31">
        <f t="shared" si="6"/>
        <v>3.7586227047290954</v>
      </c>
      <c r="H146" s="32">
        <v>829.72799999999995</v>
      </c>
      <c r="I146" s="60">
        <v>829.72559999999999</v>
      </c>
      <c r="J146" s="31">
        <f t="shared" si="7"/>
        <v>2.8925225399408974</v>
      </c>
      <c r="K146" s="2">
        <v>551.50340000000006</v>
      </c>
      <c r="L146" s="2">
        <v>551.50340000000006</v>
      </c>
      <c r="M146" s="2">
        <v>551.50340000000006</v>
      </c>
    </row>
    <row r="147" spans="1:13" ht="15.3" x14ac:dyDescent="0.55000000000000004">
      <c r="A147" s="8"/>
      <c r="B147" s="33" t="s">
        <v>2506</v>
      </c>
      <c r="C147" s="29">
        <v>48</v>
      </c>
      <c r="D147" s="29">
        <v>20.43</v>
      </c>
      <c r="E147" s="32">
        <v>824.77329999999995</v>
      </c>
      <c r="F147" s="32">
        <v>824.77020000000005</v>
      </c>
      <c r="G147" s="31">
        <f t="shared" si="6"/>
        <v>3.7586227047290954</v>
      </c>
      <c r="H147" s="32">
        <v>829.72799999999995</v>
      </c>
      <c r="I147" s="60">
        <v>829.72559999999999</v>
      </c>
      <c r="J147" s="31">
        <f t="shared" si="7"/>
        <v>2.8925225399408974</v>
      </c>
      <c r="K147" s="2">
        <v>523.47209999999995</v>
      </c>
      <c r="L147" s="2">
        <v>551.50340000000006</v>
      </c>
      <c r="M147" s="2">
        <v>579.53470000000004</v>
      </c>
    </row>
    <row r="148" spans="1:13" ht="15.3" x14ac:dyDescent="0.55000000000000004">
      <c r="A148" s="8" t="s">
        <v>2507</v>
      </c>
      <c r="B148" s="33" t="s">
        <v>2508</v>
      </c>
      <c r="C148" s="29">
        <v>46</v>
      </c>
      <c r="D148" s="30">
        <v>19.989999999999998</v>
      </c>
      <c r="E148" s="32">
        <v>822.75760000000002</v>
      </c>
      <c r="F148" s="32">
        <v>822.75450000000001</v>
      </c>
      <c r="G148" s="31">
        <f t="shared" si="6"/>
        <v>3.7678311088151379</v>
      </c>
      <c r="H148" s="32">
        <v>827.71339999999998</v>
      </c>
      <c r="I148" s="60">
        <v>827.70989999999995</v>
      </c>
      <c r="J148" s="31">
        <f t="shared" si="7"/>
        <v>4.2285346593425102</v>
      </c>
      <c r="K148" s="2">
        <v>549.48770000000002</v>
      </c>
      <c r="L148" s="2">
        <v>551.50340000000006</v>
      </c>
      <c r="M148" s="2">
        <v>549.48770000000002</v>
      </c>
    </row>
    <row r="149" spans="1:13" ht="15.3" x14ac:dyDescent="0.55000000000000004">
      <c r="A149" s="8"/>
      <c r="B149" s="33" t="s">
        <v>2509</v>
      </c>
      <c r="C149" s="29">
        <v>46</v>
      </c>
      <c r="D149" s="30">
        <v>19.989999999999998</v>
      </c>
      <c r="E149" s="32">
        <v>822.75760000000002</v>
      </c>
      <c r="F149" s="32">
        <v>822.75450000000001</v>
      </c>
      <c r="G149" s="31">
        <f t="shared" si="6"/>
        <v>3.7678311088151379</v>
      </c>
      <c r="H149" s="32">
        <v>827.71270000000004</v>
      </c>
      <c r="I149" s="60">
        <v>827.70989999999995</v>
      </c>
      <c r="J149" s="31">
        <f t="shared" si="7"/>
        <v>3.3828277275564189</v>
      </c>
      <c r="K149" s="2">
        <v>549.48770000000002</v>
      </c>
      <c r="L149" s="2">
        <v>523.47209999999995</v>
      </c>
      <c r="M149" s="2">
        <v>577.51900000000001</v>
      </c>
    </row>
    <row r="150" spans="1:13" ht="15.3" x14ac:dyDescent="0.55000000000000004">
      <c r="A150" s="8"/>
      <c r="B150" s="33" t="s">
        <v>2510</v>
      </c>
      <c r="C150" s="29">
        <v>46</v>
      </c>
      <c r="D150" s="30">
        <v>19.989999999999998</v>
      </c>
      <c r="E150" s="32">
        <v>822.75760000000002</v>
      </c>
      <c r="F150" s="32">
        <v>822.75450000000001</v>
      </c>
      <c r="G150" s="31">
        <f t="shared" si="6"/>
        <v>3.7678311088151379</v>
      </c>
      <c r="H150" s="32">
        <v>827.71270000000004</v>
      </c>
      <c r="I150" s="60">
        <v>827.70989999999995</v>
      </c>
      <c r="J150" s="31">
        <f t="shared" si="7"/>
        <v>3.3828277275564189</v>
      </c>
      <c r="K150" s="2">
        <v>521.45640000000003</v>
      </c>
      <c r="L150" s="2">
        <v>523.47209999999995</v>
      </c>
      <c r="M150" s="2">
        <v>605.55029999999999</v>
      </c>
    </row>
    <row r="151" spans="1:13" ht="15.3" x14ac:dyDescent="0.55000000000000004">
      <c r="A151" s="8" t="s">
        <v>2511</v>
      </c>
      <c r="B151" s="33" t="s">
        <v>2512</v>
      </c>
      <c r="C151" s="29">
        <v>44</v>
      </c>
      <c r="D151" s="29">
        <v>19.489999999999998</v>
      </c>
      <c r="E151" s="32">
        <v>820.74289999999996</v>
      </c>
      <c r="F151" s="32">
        <v>820.73889999999994</v>
      </c>
      <c r="G151" s="31">
        <f t="shared" si="6"/>
        <v>4.8736571399492572</v>
      </c>
      <c r="H151" s="32">
        <v>825.69809999999995</v>
      </c>
      <c r="I151" s="60">
        <v>825.6943</v>
      </c>
      <c r="J151" s="31">
        <f t="shared" si="7"/>
        <v>4.6021875165610524</v>
      </c>
      <c r="K151" s="2">
        <v>521.45640000000003</v>
      </c>
      <c r="L151" s="2">
        <v>521.45640000000003</v>
      </c>
      <c r="M151" s="2">
        <v>603.53470000000004</v>
      </c>
    </row>
    <row r="152" spans="1:13" ht="15.3" x14ac:dyDescent="0.55000000000000004">
      <c r="A152" s="8"/>
      <c r="B152" s="33" t="s">
        <v>2513</v>
      </c>
      <c r="C152" s="29">
        <v>44</v>
      </c>
      <c r="D152" s="29">
        <v>19.57</v>
      </c>
      <c r="E152" s="32">
        <v>820.74289999999996</v>
      </c>
      <c r="F152" s="32">
        <v>820.73889999999994</v>
      </c>
      <c r="G152" s="31">
        <f t="shared" si="6"/>
        <v>4.8736571399492572</v>
      </c>
      <c r="H152" s="32">
        <v>825.69809999999995</v>
      </c>
      <c r="I152" s="60">
        <v>825.6943</v>
      </c>
      <c r="J152" s="31">
        <f t="shared" si="7"/>
        <v>4.6021875165610524</v>
      </c>
      <c r="K152" s="2">
        <v>547.47209999999995</v>
      </c>
      <c r="L152" s="2">
        <v>523.47209999999995</v>
      </c>
      <c r="M152" s="2">
        <v>575.50340000000006</v>
      </c>
    </row>
    <row r="153" spans="1:13" ht="15.3" x14ac:dyDescent="0.55000000000000004">
      <c r="A153" s="8"/>
      <c r="B153" s="33" t="s">
        <v>2514</v>
      </c>
      <c r="C153" s="29">
        <v>44</v>
      </c>
      <c r="D153" s="29">
        <v>19.489999999999998</v>
      </c>
      <c r="E153" s="32">
        <v>820.74289999999996</v>
      </c>
      <c r="F153" s="32">
        <v>820.73889999999994</v>
      </c>
      <c r="G153" s="31">
        <f t="shared" si="6"/>
        <v>4.8736571399492572</v>
      </c>
      <c r="H153" s="32">
        <v>825.69809999999995</v>
      </c>
      <c r="I153" s="60">
        <v>825.6943</v>
      </c>
      <c r="J153" s="31">
        <f t="shared" si="7"/>
        <v>4.6021875165610524</v>
      </c>
      <c r="K153" s="2">
        <v>521.45640000000003</v>
      </c>
      <c r="L153" s="2">
        <v>549.48770000000002</v>
      </c>
      <c r="M153" s="2">
        <v>575.50340000000006</v>
      </c>
    </row>
    <row r="154" spans="1:13" ht="15.3" x14ac:dyDescent="0.55000000000000004">
      <c r="A154" s="29" t="s">
        <v>2515</v>
      </c>
      <c r="B154" s="33" t="s">
        <v>2516</v>
      </c>
      <c r="C154" s="29">
        <v>42</v>
      </c>
      <c r="D154" s="29">
        <v>19.079999999999998</v>
      </c>
      <c r="E154" s="32">
        <v>818.72659999999996</v>
      </c>
      <c r="F154" s="32">
        <v>818.72320000000002</v>
      </c>
      <c r="G154" s="31">
        <f t="shared" si="6"/>
        <v>4.1528076887797223</v>
      </c>
      <c r="H154" s="32">
        <v>823.68240000000003</v>
      </c>
      <c r="I154" s="60">
        <v>823.67859999999996</v>
      </c>
      <c r="J154" s="31">
        <f t="shared" si="7"/>
        <v>4.6134499549573142</v>
      </c>
      <c r="K154" s="2">
        <v>519.44079999999997</v>
      </c>
      <c r="L154" s="2">
        <v>521.45640000000003</v>
      </c>
      <c r="M154" s="2">
        <v>601.51900000000001</v>
      </c>
    </row>
    <row r="155" spans="1:13" ht="15.3" x14ac:dyDescent="0.55000000000000004">
      <c r="A155" s="29" t="s">
        <v>2517</v>
      </c>
      <c r="B155" s="33" t="s">
        <v>2518</v>
      </c>
      <c r="C155" s="29">
        <v>49</v>
      </c>
      <c r="D155" s="29">
        <v>20.62</v>
      </c>
      <c r="E155" s="32">
        <v>838.78989999999999</v>
      </c>
      <c r="F155" s="32">
        <v>838.78579999999999</v>
      </c>
      <c r="G155" s="31">
        <f t="shared" si="6"/>
        <v>4.8880178944302557</v>
      </c>
      <c r="H155" s="32">
        <v>843.74199999999996</v>
      </c>
      <c r="I155" s="60">
        <v>843.74120000000005</v>
      </c>
      <c r="J155" s="31">
        <f t="shared" si="7"/>
        <v>0.94815803698203938</v>
      </c>
      <c r="K155" s="2">
        <v>551.50340000000006</v>
      </c>
      <c r="L155" s="2">
        <v>565.51900000000001</v>
      </c>
      <c r="M155" s="2">
        <v>565.51900000000001</v>
      </c>
    </row>
    <row r="156" spans="1:13" ht="15.3" x14ac:dyDescent="0.55000000000000004">
      <c r="A156" s="29" t="s">
        <v>2519</v>
      </c>
      <c r="B156" s="33" t="s">
        <v>2520</v>
      </c>
      <c r="C156" s="29">
        <v>47</v>
      </c>
      <c r="D156" s="29">
        <v>20.21</v>
      </c>
      <c r="E156" s="32">
        <v>836.77359999999999</v>
      </c>
      <c r="F156" s="32">
        <v>836.77020000000005</v>
      </c>
      <c r="G156" s="31">
        <f t="shared" si="6"/>
        <v>4.0632422138627042</v>
      </c>
      <c r="H156" s="32">
        <v>841.7278</v>
      </c>
      <c r="I156" s="60">
        <v>841.72559999999999</v>
      </c>
      <c r="J156" s="31">
        <f t="shared" si="7"/>
        <v>2.6136783769154568</v>
      </c>
      <c r="K156" s="2">
        <v>577.51900000000001</v>
      </c>
      <c r="L156" s="2">
        <v>563.50340000000006</v>
      </c>
      <c r="M156" s="2">
        <v>537.48770000000002</v>
      </c>
    </row>
    <row r="157" spans="1:13" ht="15.3" x14ac:dyDescent="0.55000000000000004">
      <c r="A157" s="29" t="s">
        <v>2521</v>
      </c>
      <c r="B157" s="33" t="s">
        <v>2356</v>
      </c>
      <c r="C157" s="29">
        <v>45</v>
      </c>
      <c r="D157" s="29">
        <v>19.77</v>
      </c>
      <c r="E157" s="32">
        <v>834.75760000000002</v>
      </c>
      <c r="F157" s="32">
        <v>834.75450000000001</v>
      </c>
      <c r="G157" s="31">
        <f t="shared" si="6"/>
        <v>3.7136667128091481</v>
      </c>
      <c r="H157" s="32">
        <v>839.71299999999997</v>
      </c>
      <c r="I157" s="60">
        <v>839.70989999999995</v>
      </c>
      <c r="J157" s="31">
        <f t="shared" si="7"/>
        <v>3.691751163131034</v>
      </c>
      <c r="K157" s="2" t="s">
        <v>2356</v>
      </c>
      <c r="L157" s="2" t="s">
        <v>2356</v>
      </c>
      <c r="M157" s="2" t="s">
        <v>2356</v>
      </c>
    </row>
    <row r="158" spans="1:13" ht="15.3" x14ac:dyDescent="0.55000000000000004">
      <c r="A158" s="29" t="s">
        <v>2522</v>
      </c>
      <c r="B158" s="33" t="s">
        <v>2523</v>
      </c>
      <c r="C158" s="29">
        <v>43</v>
      </c>
      <c r="D158" s="29">
        <v>19.29</v>
      </c>
      <c r="E158" s="32">
        <v>832.74289999999996</v>
      </c>
      <c r="F158" s="32">
        <v>832.73889999999994</v>
      </c>
      <c r="G158" s="31">
        <f t="shared" si="6"/>
        <v>4.8034263801283927</v>
      </c>
      <c r="H158" s="32">
        <v>837.6979</v>
      </c>
      <c r="I158" s="60">
        <v>837.6943</v>
      </c>
      <c r="J158" s="31">
        <f t="shared" si="7"/>
        <v>4.2975104402713749</v>
      </c>
      <c r="K158" s="2">
        <v>573.48770000000002</v>
      </c>
      <c r="L158" s="2">
        <v>561.48770000000002</v>
      </c>
      <c r="M158" s="2">
        <v>535.47209999999995</v>
      </c>
    </row>
    <row r="159" spans="1:13" ht="15.3" x14ac:dyDescent="0.55000000000000004">
      <c r="A159" s="29" t="s">
        <v>2524</v>
      </c>
      <c r="B159" s="33" t="s">
        <v>2525</v>
      </c>
      <c r="C159" s="29">
        <v>50</v>
      </c>
      <c r="D159" s="29">
        <v>20.84</v>
      </c>
      <c r="E159" s="32">
        <v>852.80439999999999</v>
      </c>
      <c r="F159" s="32">
        <v>852.80150000000003</v>
      </c>
      <c r="G159" s="31">
        <f t="shared" si="6"/>
        <v>3.4005568704489395</v>
      </c>
      <c r="H159" s="32">
        <v>857.75890000000004</v>
      </c>
      <c r="I159" s="60">
        <v>857.75689999999997</v>
      </c>
      <c r="J159" s="31">
        <f t="shared" si="7"/>
        <v>2.3316629689209063</v>
      </c>
      <c r="K159" s="2">
        <v>551.50340000000006</v>
      </c>
      <c r="L159" s="2">
        <v>579.53470000000004</v>
      </c>
      <c r="M159" s="2">
        <v>579.53470000000004</v>
      </c>
    </row>
    <row r="160" spans="1:13" ht="15.3" x14ac:dyDescent="0.55000000000000004">
      <c r="A160" s="8" t="s">
        <v>2526</v>
      </c>
      <c r="B160" s="33" t="s">
        <v>2527</v>
      </c>
      <c r="C160" s="29">
        <v>48</v>
      </c>
      <c r="D160" s="29">
        <v>20.38</v>
      </c>
      <c r="E160" s="32">
        <v>850.78959999999995</v>
      </c>
      <c r="F160" s="32">
        <v>850.78579999999999</v>
      </c>
      <c r="G160" s="31">
        <f t="shared" si="6"/>
        <v>4.4664591251471482</v>
      </c>
      <c r="H160" s="32">
        <v>855.74469999999997</v>
      </c>
      <c r="I160" s="60">
        <v>855.74120000000005</v>
      </c>
      <c r="J160" s="31">
        <f t="shared" si="7"/>
        <v>4.0900216092403126</v>
      </c>
      <c r="K160" s="2">
        <v>577.51900000000001</v>
      </c>
      <c r="L160" s="2">
        <v>551.50340000000006</v>
      </c>
      <c r="M160" s="2">
        <v>577.51900000000001</v>
      </c>
    </row>
    <row r="161" spans="1:13" ht="15.3" x14ac:dyDescent="0.55000000000000004">
      <c r="A161" s="8"/>
      <c r="B161" s="33" t="s">
        <v>2528</v>
      </c>
      <c r="C161" s="29">
        <v>48</v>
      </c>
      <c r="D161" s="29">
        <v>20.38</v>
      </c>
      <c r="E161" s="32">
        <v>850.78959999999995</v>
      </c>
      <c r="F161" s="32">
        <v>850.78579999999999</v>
      </c>
      <c r="G161" s="31">
        <f t="shared" si="6"/>
        <v>4.4664591251471482</v>
      </c>
      <c r="H161" s="32">
        <v>855.74469999999997</v>
      </c>
      <c r="I161" s="60">
        <v>855.74120000000005</v>
      </c>
      <c r="J161" s="31">
        <f t="shared" si="7"/>
        <v>4.0900216092403126</v>
      </c>
      <c r="K161" s="2">
        <v>549.48770000000002</v>
      </c>
      <c r="L161" s="2">
        <v>551.50340000000006</v>
      </c>
      <c r="M161" s="2">
        <v>605.55029999999999</v>
      </c>
    </row>
    <row r="162" spans="1:13" ht="15.3" x14ac:dyDescent="0.55000000000000004">
      <c r="A162" s="8" t="s">
        <v>2529</v>
      </c>
      <c r="B162" s="33" t="s">
        <v>2530</v>
      </c>
      <c r="C162" s="29">
        <v>46</v>
      </c>
      <c r="D162" s="29">
        <v>19.98</v>
      </c>
      <c r="E162" s="32">
        <v>848.77390000000003</v>
      </c>
      <c r="F162" s="32">
        <v>848.77020000000005</v>
      </c>
      <c r="G162" s="31">
        <f t="shared" si="6"/>
        <v>4.3592482393711727</v>
      </c>
      <c r="H162" s="32">
        <v>853.72919999999999</v>
      </c>
      <c r="I162" s="60">
        <v>853.72559999999999</v>
      </c>
      <c r="J162" s="31">
        <f t="shared" si="7"/>
        <v>4.2168115844316025</v>
      </c>
      <c r="K162" s="2">
        <v>549.48770000000002</v>
      </c>
      <c r="L162" s="2">
        <v>549.48770000000002</v>
      </c>
      <c r="M162" s="2">
        <v>603.53470000000004</v>
      </c>
    </row>
    <row r="163" spans="1:13" ht="15.3" x14ac:dyDescent="0.55000000000000004">
      <c r="A163" s="8"/>
      <c r="B163" s="33" t="s">
        <v>2531</v>
      </c>
      <c r="C163" s="29">
        <v>46</v>
      </c>
      <c r="D163" s="29">
        <v>19.98</v>
      </c>
      <c r="E163" s="32">
        <v>848.77390000000003</v>
      </c>
      <c r="F163" s="32">
        <v>848.77020000000005</v>
      </c>
      <c r="G163" s="31">
        <f t="shared" si="6"/>
        <v>4.3592482393711727</v>
      </c>
      <c r="H163" s="32">
        <v>853.72919999999999</v>
      </c>
      <c r="I163" s="60">
        <v>853.72559999999999</v>
      </c>
      <c r="J163" s="31">
        <f t="shared" si="7"/>
        <v>4.2168115844316025</v>
      </c>
      <c r="K163" s="2">
        <v>575.50340000000006</v>
      </c>
      <c r="L163" s="2">
        <v>549.48770000000002</v>
      </c>
      <c r="M163" s="2">
        <v>577.51900000000001</v>
      </c>
    </row>
    <row r="164" spans="1:13" ht="15.3" x14ac:dyDescent="0.55000000000000004">
      <c r="A164" s="8"/>
      <c r="B164" s="33" t="s">
        <v>2532</v>
      </c>
      <c r="C164" s="29">
        <v>46</v>
      </c>
      <c r="D164" s="29">
        <v>19.98</v>
      </c>
      <c r="E164" s="32">
        <v>848.77390000000003</v>
      </c>
      <c r="F164" s="32">
        <v>848.77020000000005</v>
      </c>
      <c r="G164" s="31">
        <f t="shared" si="6"/>
        <v>4.3592482393711727</v>
      </c>
      <c r="H164" s="32">
        <v>853.72919999999999</v>
      </c>
      <c r="I164" s="60">
        <v>853.72559999999999</v>
      </c>
      <c r="J164" s="31">
        <f t="shared" si="7"/>
        <v>4.2168115844316025</v>
      </c>
      <c r="K164" s="2">
        <v>551.50340000000006</v>
      </c>
      <c r="L164" s="2">
        <v>551.50340000000006</v>
      </c>
      <c r="M164" s="2">
        <v>551.50340000000006</v>
      </c>
    </row>
    <row r="165" spans="1:13" ht="15.3" x14ac:dyDescent="0.55000000000000004">
      <c r="A165" s="8" t="s">
        <v>2533</v>
      </c>
      <c r="B165" s="33" t="s">
        <v>2534</v>
      </c>
      <c r="C165" s="29">
        <v>44</v>
      </c>
      <c r="D165" s="29">
        <v>19.489999999999998</v>
      </c>
      <c r="E165" s="32">
        <v>846.75729999999999</v>
      </c>
      <c r="F165" s="32">
        <v>846.75450000000001</v>
      </c>
      <c r="G165" s="31">
        <f t="shared" si="6"/>
        <v>3.3067435720498253</v>
      </c>
      <c r="H165" s="32">
        <v>851.71370000000002</v>
      </c>
      <c r="I165" s="60">
        <v>851.70989999999995</v>
      </c>
      <c r="J165" s="31">
        <f t="shared" si="7"/>
        <v>4.4616130446168389</v>
      </c>
      <c r="K165" s="2">
        <v>547.47209999999995</v>
      </c>
      <c r="L165" s="2">
        <v>549.48770000000002</v>
      </c>
      <c r="M165" s="2">
        <v>601.51900000000001</v>
      </c>
    </row>
    <row r="166" spans="1:13" ht="15.3" x14ac:dyDescent="0.55000000000000004">
      <c r="A166" s="8"/>
      <c r="B166" s="33" t="s">
        <v>2535</v>
      </c>
      <c r="C166" s="29">
        <v>44</v>
      </c>
      <c r="D166" s="29">
        <v>19.489999999999998</v>
      </c>
      <c r="E166" s="32">
        <v>846.75729999999999</v>
      </c>
      <c r="F166" s="32">
        <v>846.75450000000001</v>
      </c>
      <c r="G166" s="31">
        <f t="shared" si="6"/>
        <v>3.3067435720498253</v>
      </c>
      <c r="H166" s="32">
        <v>851.71410000000003</v>
      </c>
      <c r="I166" s="60">
        <v>851.70989999999995</v>
      </c>
      <c r="J166" s="31">
        <f t="shared" si="7"/>
        <v>4.9312565230045848</v>
      </c>
      <c r="K166" s="2">
        <v>575.50340000000006</v>
      </c>
      <c r="L166" s="2">
        <v>573.48770000000002</v>
      </c>
      <c r="M166" s="2">
        <v>549.48770000000002</v>
      </c>
    </row>
    <row r="167" spans="1:13" ht="15.3" x14ac:dyDescent="0.55000000000000004">
      <c r="A167" s="8"/>
      <c r="B167" s="33" t="s">
        <v>2536</v>
      </c>
      <c r="C167" s="29">
        <v>44</v>
      </c>
      <c r="D167" s="29">
        <v>19.489999999999998</v>
      </c>
      <c r="E167" s="32">
        <v>846.75729999999999</v>
      </c>
      <c r="F167" s="32">
        <v>846.75450000000001</v>
      </c>
      <c r="G167" s="31">
        <f t="shared" si="6"/>
        <v>3.3067435720498253</v>
      </c>
      <c r="H167" s="32">
        <v>851.71410000000003</v>
      </c>
      <c r="I167" s="60">
        <v>851.70989999999995</v>
      </c>
      <c r="J167" s="31">
        <f t="shared" si="7"/>
        <v>4.9312565230045848</v>
      </c>
      <c r="K167" s="2">
        <v>575.50340000000006</v>
      </c>
      <c r="L167" s="2">
        <v>575.50340000000006</v>
      </c>
      <c r="M167" s="2">
        <v>547.47209999999995</v>
      </c>
    </row>
    <row r="168" spans="1:13" ht="15.3" x14ac:dyDescent="0.55000000000000004">
      <c r="A168" s="8" t="s">
        <v>2537</v>
      </c>
      <c r="B168" s="33" t="s">
        <v>2538</v>
      </c>
      <c r="C168" s="29">
        <v>42</v>
      </c>
      <c r="D168" s="29">
        <v>19.09</v>
      </c>
      <c r="E168" s="32">
        <v>844.73990000000003</v>
      </c>
      <c r="F168" s="32">
        <v>844.73889999999994</v>
      </c>
      <c r="G168" s="31">
        <f t="shared" si="6"/>
        <v>1.1837977392659909</v>
      </c>
      <c r="H168" s="32">
        <v>849.69569999999999</v>
      </c>
      <c r="I168" s="60">
        <v>849.6943</v>
      </c>
      <c r="J168" s="31">
        <f t="shared" si="7"/>
        <v>1.6476513964959301</v>
      </c>
      <c r="K168" s="2">
        <v>547.47209999999995</v>
      </c>
      <c r="L168" s="2">
        <v>547.47209999999995</v>
      </c>
      <c r="M168" s="2">
        <v>599.50340000000006</v>
      </c>
    </row>
    <row r="169" spans="1:13" ht="15.3" x14ac:dyDescent="0.55000000000000004">
      <c r="A169" s="8"/>
      <c r="B169" s="33" t="s">
        <v>2539</v>
      </c>
      <c r="C169" s="29">
        <v>42</v>
      </c>
      <c r="D169" s="29">
        <v>19.09</v>
      </c>
      <c r="E169" s="32">
        <v>844.73990000000003</v>
      </c>
      <c r="F169" s="32">
        <v>844.73889999999994</v>
      </c>
      <c r="G169" s="31">
        <f t="shared" si="6"/>
        <v>1.1837977392659909</v>
      </c>
      <c r="H169" s="32">
        <v>849.69569999999999</v>
      </c>
      <c r="I169" s="60">
        <v>849.6943</v>
      </c>
      <c r="J169" s="31">
        <f>((H169-I169)/I169)*1000000</f>
        <v>1.6476513964959301</v>
      </c>
      <c r="K169" s="2">
        <v>573.48770000000002</v>
      </c>
      <c r="L169" s="2">
        <v>571.47209999999995</v>
      </c>
      <c r="M169" s="2">
        <v>549.48770000000002</v>
      </c>
    </row>
    <row r="170" spans="1:13" ht="15.3" x14ac:dyDescent="0.55000000000000004">
      <c r="A170" s="8"/>
      <c r="B170" s="33" t="s">
        <v>2540</v>
      </c>
      <c r="C170" s="29">
        <v>42</v>
      </c>
      <c r="D170" s="29">
        <v>18.989999999999998</v>
      </c>
      <c r="E170" s="32">
        <v>844.73990000000003</v>
      </c>
      <c r="F170" s="32">
        <v>844.73889999999994</v>
      </c>
      <c r="G170" s="31">
        <f t="shared" si="6"/>
        <v>1.1837977392659909</v>
      </c>
      <c r="H170" s="32">
        <v>849.69569999999999</v>
      </c>
      <c r="I170" s="60">
        <v>849.6943</v>
      </c>
      <c r="J170" s="31">
        <f t="shared" si="7"/>
        <v>1.6476513964959301</v>
      </c>
      <c r="K170" s="2">
        <v>547.47209999999995</v>
      </c>
      <c r="L170" s="2">
        <v>573.48770000000002</v>
      </c>
      <c r="M170" s="2">
        <v>573.48770000000002</v>
      </c>
    </row>
    <row r="171" spans="1:13" ht="15.3" x14ac:dyDescent="0.55000000000000004">
      <c r="A171" s="1" t="s">
        <v>2541</v>
      </c>
      <c r="B171" s="33" t="s">
        <v>2542</v>
      </c>
      <c r="C171" s="29">
        <v>51</v>
      </c>
      <c r="D171" s="29">
        <v>20.99</v>
      </c>
      <c r="E171" s="32">
        <v>866.82029999999997</v>
      </c>
      <c r="F171" s="32">
        <v>866.81709999999998</v>
      </c>
      <c r="G171" s="31">
        <f t="shared" si="6"/>
        <v>3.6916669041168455</v>
      </c>
      <c r="H171" s="32">
        <v>871.77089999999998</v>
      </c>
      <c r="I171" s="60">
        <v>871.77250000000004</v>
      </c>
      <c r="J171" s="31">
        <f t="shared" si="7"/>
        <v>-1.8353412158024189</v>
      </c>
      <c r="K171" s="2">
        <v>565.51900000000001</v>
      </c>
      <c r="L171" s="2">
        <v>579.53470000000004</v>
      </c>
      <c r="M171" s="2">
        <v>593.55029999999999</v>
      </c>
    </row>
    <row r="172" spans="1:13" ht="15.3" x14ac:dyDescent="0.55000000000000004">
      <c r="A172" s="29" t="s">
        <v>2543</v>
      </c>
      <c r="B172" s="33" t="s">
        <v>2544</v>
      </c>
      <c r="C172" s="29">
        <v>49</v>
      </c>
      <c r="D172" s="29">
        <v>20.61</v>
      </c>
      <c r="E172" s="32">
        <v>864.80550000000005</v>
      </c>
      <c r="F172" s="32">
        <v>864.80150000000003</v>
      </c>
      <c r="G172" s="31">
        <f t="shared" si="6"/>
        <v>4.6253388783658442</v>
      </c>
      <c r="H172" s="32">
        <v>869.75850000000003</v>
      </c>
      <c r="I172" s="60">
        <v>869.75689999999997</v>
      </c>
      <c r="J172" s="31">
        <f t="shared" si="7"/>
        <v>1.8395944890498881</v>
      </c>
      <c r="K172" s="2">
        <v>565.51900000000001</v>
      </c>
      <c r="L172" s="2">
        <v>577.51900000000001</v>
      </c>
      <c r="M172" s="2">
        <v>591.53470000000004</v>
      </c>
    </row>
    <row r="173" spans="1:13" ht="15.3" x14ac:dyDescent="0.55000000000000004">
      <c r="A173" s="29" t="s">
        <v>2545</v>
      </c>
      <c r="B173" s="33" t="s">
        <v>2546</v>
      </c>
      <c r="C173" s="29">
        <v>47</v>
      </c>
      <c r="D173" s="29">
        <v>20.21</v>
      </c>
      <c r="E173" s="32">
        <v>862.78930000000003</v>
      </c>
      <c r="F173" s="32">
        <v>862.78579999999999</v>
      </c>
      <c r="G173" s="31">
        <f t="shared" si="6"/>
        <v>4.0566268012650681</v>
      </c>
      <c r="H173" s="32">
        <v>867.74469999999997</v>
      </c>
      <c r="I173" s="60">
        <v>867.74120000000005</v>
      </c>
      <c r="J173" s="31">
        <f t="shared" si="7"/>
        <v>4.03346066767054</v>
      </c>
      <c r="K173" s="2">
        <v>577.51900000000001</v>
      </c>
      <c r="L173" s="2">
        <v>563.50340000000006</v>
      </c>
      <c r="M173" s="2">
        <v>589.51900000000001</v>
      </c>
    </row>
    <row r="174" spans="1:13" ht="15.3" x14ac:dyDescent="0.55000000000000004">
      <c r="A174" s="8" t="s">
        <v>2547</v>
      </c>
      <c r="B174" s="33" t="s">
        <v>2548</v>
      </c>
      <c r="C174" s="29">
        <v>45</v>
      </c>
      <c r="D174" s="29">
        <v>19.72</v>
      </c>
      <c r="E174" s="32">
        <v>860.77449999999999</v>
      </c>
      <c r="F174" s="32">
        <v>860.77020000000005</v>
      </c>
      <c r="G174" s="31">
        <f t="shared" si="6"/>
        <v>4.9955260996997728</v>
      </c>
      <c r="H174" s="32">
        <v>865.72900000000004</v>
      </c>
      <c r="I174" s="60">
        <v>865.72559999999999</v>
      </c>
      <c r="J174" s="31">
        <f>((H174-I174)/I174)*1000000</f>
        <v>3.9273414117083112</v>
      </c>
      <c r="K174" s="2">
        <v>601.51900000000001</v>
      </c>
      <c r="L174" s="2">
        <v>563.50340000000006</v>
      </c>
      <c r="M174" s="2">
        <v>561.48770000000002</v>
      </c>
    </row>
    <row r="175" spans="1:13" ht="15.3" x14ac:dyDescent="0.55000000000000004">
      <c r="A175" s="8"/>
      <c r="B175" s="33" t="s">
        <v>2549</v>
      </c>
      <c r="C175" s="29">
        <v>45</v>
      </c>
      <c r="D175" s="29">
        <v>19.72</v>
      </c>
      <c r="E175" s="32">
        <v>860.77449999999999</v>
      </c>
      <c r="F175" s="32">
        <v>860.77020000000005</v>
      </c>
      <c r="G175" s="31">
        <f t="shared" si="6"/>
        <v>4.9955260996997728</v>
      </c>
      <c r="H175" s="32">
        <v>865.72900000000004</v>
      </c>
      <c r="I175" s="60">
        <v>865.72559999999999</v>
      </c>
      <c r="J175" s="31">
        <f t="shared" si="7"/>
        <v>3.9273414117083112</v>
      </c>
      <c r="K175" s="2">
        <v>575.50340000000006</v>
      </c>
      <c r="L175" s="2">
        <v>563.50340000000006</v>
      </c>
      <c r="M175" s="2">
        <v>587.50340000000006</v>
      </c>
    </row>
    <row r="176" spans="1:13" ht="15.3" x14ac:dyDescent="0.55000000000000004">
      <c r="A176" s="29" t="s">
        <v>2550</v>
      </c>
      <c r="B176" s="33" t="s">
        <v>2551</v>
      </c>
      <c r="C176" s="29">
        <v>43</v>
      </c>
      <c r="D176" s="30">
        <v>19.3</v>
      </c>
      <c r="E176" s="32">
        <v>858.75559999999996</v>
      </c>
      <c r="F176" s="32">
        <v>858.75450000000001</v>
      </c>
      <c r="G176" s="31">
        <f t="shared" si="6"/>
        <v>1.2809248742815915</v>
      </c>
      <c r="H176" s="32">
        <v>863.70759999999996</v>
      </c>
      <c r="I176" s="60">
        <v>863.70989999999995</v>
      </c>
      <c r="J176" s="31">
        <f t="shared" si="7"/>
        <v>-2.6629311531465452</v>
      </c>
      <c r="K176" s="2">
        <v>561.48770000000002</v>
      </c>
      <c r="L176" s="2">
        <v>561.48770000000002</v>
      </c>
      <c r="M176" s="2">
        <v>599.50340000000006</v>
      </c>
    </row>
    <row r="177" spans="1:13" ht="15.3" x14ac:dyDescent="0.55000000000000004">
      <c r="A177" s="29" t="s">
        <v>2552</v>
      </c>
      <c r="B177" s="33" t="s">
        <v>2553</v>
      </c>
      <c r="C177" s="29">
        <v>52</v>
      </c>
      <c r="D177" s="29">
        <v>21.17</v>
      </c>
      <c r="E177" s="32">
        <v>880.83640000000003</v>
      </c>
      <c r="F177" s="32">
        <v>880.83280000000002</v>
      </c>
      <c r="G177" s="31">
        <f t="shared" si="6"/>
        <v>4.087041263683437</v>
      </c>
      <c r="H177" s="32">
        <v>885.79049999999995</v>
      </c>
      <c r="I177" s="60">
        <v>885.78819999999996</v>
      </c>
      <c r="J177" s="31">
        <f t="shared" si="7"/>
        <v>2.5965575066264002</v>
      </c>
      <c r="K177" s="2">
        <v>579.53470000000004</v>
      </c>
      <c r="L177" s="2">
        <v>579.53470000000004</v>
      </c>
      <c r="M177" s="2">
        <v>607.56600000000003</v>
      </c>
    </row>
    <row r="178" spans="1:13" ht="15.3" x14ac:dyDescent="0.55000000000000004">
      <c r="A178" s="1" t="s">
        <v>2554</v>
      </c>
      <c r="B178" s="33" t="s">
        <v>2555</v>
      </c>
      <c r="C178" s="29">
        <v>50</v>
      </c>
      <c r="D178" s="29">
        <v>20.76</v>
      </c>
      <c r="E178" s="32">
        <v>878.82069999999999</v>
      </c>
      <c r="F178" s="32">
        <v>878.81709999999998</v>
      </c>
      <c r="G178" s="31">
        <f t="shared" si="6"/>
        <v>4.0964155112660192</v>
      </c>
      <c r="H178" s="32">
        <v>883.7758</v>
      </c>
      <c r="I178" s="60">
        <v>883.77250000000004</v>
      </c>
      <c r="J178" s="31">
        <f t="shared" si="7"/>
        <v>3.7339926281564995</v>
      </c>
      <c r="K178" s="2">
        <v>577.51900000000001</v>
      </c>
      <c r="L178" s="2">
        <v>579.53470000000004</v>
      </c>
      <c r="M178" s="2">
        <v>605.55029999999999</v>
      </c>
    </row>
    <row r="179" spans="1:13" ht="15.3" x14ac:dyDescent="0.55000000000000004">
      <c r="A179" s="8" t="s">
        <v>2556</v>
      </c>
      <c r="B179" s="33" t="s">
        <v>2557</v>
      </c>
      <c r="C179" s="29">
        <v>48</v>
      </c>
      <c r="D179" s="29">
        <v>20.32</v>
      </c>
      <c r="E179" s="32">
        <v>876.80579999999998</v>
      </c>
      <c r="F179" s="32">
        <v>876.80150000000003</v>
      </c>
      <c r="G179" s="31">
        <f t="shared" si="6"/>
        <v>4.9041886903065208</v>
      </c>
      <c r="H179" s="32">
        <v>881.76059999999995</v>
      </c>
      <c r="I179" s="60">
        <v>881.75689999999997</v>
      </c>
      <c r="J179" s="31">
        <f t="shared" si="7"/>
        <v>4.1961679006772945</v>
      </c>
      <c r="K179" s="2">
        <v>577.51900000000001</v>
      </c>
      <c r="L179" s="2">
        <v>577.51900000000001</v>
      </c>
      <c r="M179" s="2">
        <v>603.53470000000004</v>
      </c>
    </row>
    <row r="180" spans="1:13" ht="15.3" x14ac:dyDescent="0.55000000000000004">
      <c r="A180" s="8"/>
      <c r="B180" s="33" t="s">
        <v>2558</v>
      </c>
      <c r="C180" s="29">
        <v>48</v>
      </c>
      <c r="D180" s="29">
        <v>20.41</v>
      </c>
      <c r="E180" s="32">
        <v>876.80579999999998</v>
      </c>
      <c r="F180" s="32">
        <v>876.80150000000003</v>
      </c>
      <c r="G180" s="31">
        <f t="shared" si="6"/>
        <v>4.9041886903065208</v>
      </c>
      <c r="H180" s="32">
        <v>881.76120000000003</v>
      </c>
      <c r="I180" s="60">
        <v>881.75689999999997</v>
      </c>
      <c r="J180" s="31">
        <f t="shared" si="7"/>
        <v>4.8766275603371865</v>
      </c>
      <c r="K180" s="2">
        <v>551.50340000000006</v>
      </c>
      <c r="L180" s="2">
        <v>603.53470000000004</v>
      </c>
      <c r="M180" s="2">
        <v>603.53470000000004</v>
      </c>
    </row>
    <row r="181" spans="1:13" ht="15.3" x14ac:dyDescent="0.55000000000000004">
      <c r="A181" s="8" t="s">
        <v>2559</v>
      </c>
      <c r="B181" s="33" t="s">
        <v>2560</v>
      </c>
      <c r="C181" s="29">
        <v>46</v>
      </c>
      <c r="D181" s="29">
        <v>19.97</v>
      </c>
      <c r="E181" s="32">
        <v>874.79010000000005</v>
      </c>
      <c r="F181" s="32">
        <v>874.78579999999999</v>
      </c>
      <c r="G181" s="31">
        <f t="shared" si="6"/>
        <v>4.9154890260649866</v>
      </c>
      <c r="H181" s="32">
        <v>879.74549999999999</v>
      </c>
      <c r="I181" s="60">
        <v>879.74120000000005</v>
      </c>
      <c r="J181" s="31">
        <f t="shared" si="7"/>
        <v>4.8878010941670036</v>
      </c>
      <c r="K181" s="2">
        <v>575.50340000000006</v>
      </c>
      <c r="L181" s="2">
        <v>575.50340000000006</v>
      </c>
      <c r="M181" s="2">
        <v>603.53470000000004</v>
      </c>
    </row>
    <row r="182" spans="1:13" ht="15.3" x14ac:dyDescent="0.55000000000000004">
      <c r="A182" s="8"/>
      <c r="B182" s="33" t="s">
        <v>2561</v>
      </c>
      <c r="C182" s="29">
        <v>46</v>
      </c>
      <c r="D182" s="29">
        <v>19.97</v>
      </c>
      <c r="E182" s="32">
        <v>874.79010000000005</v>
      </c>
      <c r="F182" s="32">
        <v>874.78579999999999</v>
      </c>
      <c r="G182" s="31">
        <f t="shared" si="6"/>
        <v>4.9154890260649866</v>
      </c>
      <c r="H182" s="32">
        <v>879.74549999999999</v>
      </c>
      <c r="I182" s="60">
        <v>879.74120000000005</v>
      </c>
      <c r="J182" s="31">
        <f t="shared" si="7"/>
        <v>4.8878010941670036</v>
      </c>
      <c r="K182" s="2">
        <v>575.50340000000006</v>
      </c>
      <c r="L182" s="2">
        <v>577.51900000000001</v>
      </c>
      <c r="M182" s="2">
        <v>601.51900000000001</v>
      </c>
    </row>
    <row r="183" spans="1:13" ht="15.3" x14ac:dyDescent="0.55000000000000004">
      <c r="A183" s="8" t="s">
        <v>2562</v>
      </c>
      <c r="B183" s="33" t="s">
        <v>2563</v>
      </c>
      <c r="C183" s="29">
        <v>44</v>
      </c>
      <c r="D183" s="29">
        <v>19.47</v>
      </c>
      <c r="E183" s="32">
        <v>872.77409999999998</v>
      </c>
      <c r="F183" s="32">
        <v>872.77020000000005</v>
      </c>
      <c r="G183" s="31">
        <f t="shared" si="6"/>
        <v>4.4685302040909676</v>
      </c>
      <c r="H183" s="32">
        <v>877.73</v>
      </c>
      <c r="I183" s="60">
        <v>877.72559999999999</v>
      </c>
      <c r="J183" s="31">
        <f t="shared" si="7"/>
        <v>5.0129562132315364</v>
      </c>
      <c r="K183" s="2">
        <v>573.48770000000002</v>
      </c>
      <c r="L183" s="2">
        <v>575.50340000000006</v>
      </c>
      <c r="M183" s="2">
        <v>601.51900000000001</v>
      </c>
    </row>
    <row r="184" spans="1:13" ht="15.3" x14ac:dyDescent="0.55000000000000004">
      <c r="A184" s="8"/>
      <c r="B184" s="33" t="s">
        <v>2564</v>
      </c>
      <c r="C184" s="29">
        <v>44</v>
      </c>
      <c r="D184" s="29">
        <v>19.55</v>
      </c>
      <c r="E184" s="32">
        <v>872.77409999999998</v>
      </c>
      <c r="F184" s="32">
        <v>872.77020000000005</v>
      </c>
      <c r="G184" s="31">
        <f t="shared" si="6"/>
        <v>4.4685302040909676</v>
      </c>
      <c r="H184" s="32">
        <v>877.73</v>
      </c>
      <c r="I184" s="60">
        <v>877.72559999999999</v>
      </c>
      <c r="J184" s="31">
        <f t="shared" si="7"/>
        <v>5.0129562132315364</v>
      </c>
      <c r="K184" s="2">
        <v>599.50340000000006</v>
      </c>
      <c r="L184" s="2">
        <v>577.51900000000001</v>
      </c>
      <c r="M184" s="2">
        <v>573.48770000000002</v>
      </c>
    </row>
    <row r="185" spans="1:13" ht="15.3" x14ac:dyDescent="0.55000000000000004">
      <c r="A185" s="8"/>
      <c r="B185" s="33" t="s">
        <v>2565</v>
      </c>
      <c r="C185" s="29">
        <v>44</v>
      </c>
      <c r="D185" s="29">
        <v>19.55</v>
      </c>
      <c r="E185" s="32">
        <v>872.77409999999998</v>
      </c>
      <c r="F185" s="32">
        <v>872.77020000000005</v>
      </c>
      <c r="G185" s="31">
        <f t="shared" si="6"/>
        <v>4.4685302040909676</v>
      </c>
      <c r="H185" s="32">
        <v>877.73</v>
      </c>
      <c r="I185" s="60">
        <v>877.72559999999999</v>
      </c>
      <c r="J185" s="31">
        <f t="shared" si="7"/>
        <v>5.0129562132315364</v>
      </c>
      <c r="K185" s="2">
        <v>575.50340000000006</v>
      </c>
      <c r="L185" s="2">
        <v>575.50340000000006</v>
      </c>
      <c r="M185" s="2">
        <v>599.50340000000006</v>
      </c>
    </row>
    <row r="186" spans="1:13" ht="15.3" x14ac:dyDescent="0.55000000000000004">
      <c r="A186" s="8" t="s">
        <v>2566</v>
      </c>
      <c r="B186" s="33" t="s">
        <v>2567</v>
      </c>
      <c r="C186" s="29">
        <v>42</v>
      </c>
      <c r="D186" s="29">
        <v>19.05</v>
      </c>
      <c r="E186" s="32">
        <v>870.75070000000005</v>
      </c>
      <c r="F186" s="32">
        <v>870.75450000000001</v>
      </c>
      <c r="G186" s="31">
        <f t="shared" si="6"/>
        <v>-4.3640314232721362</v>
      </c>
      <c r="H186" s="32">
        <v>875.70759999999996</v>
      </c>
      <c r="I186" s="60">
        <v>875.70989999999995</v>
      </c>
      <c r="J186" s="31">
        <f t="shared" si="7"/>
        <v>-2.6264405598144855</v>
      </c>
      <c r="K186" s="2">
        <v>573.48770000000002</v>
      </c>
      <c r="L186" s="2">
        <v>573.48770000000002</v>
      </c>
      <c r="M186" s="2">
        <v>599.50340000000006</v>
      </c>
    </row>
    <row r="187" spans="1:13" ht="15.3" x14ac:dyDescent="0.55000000000000004">
      <c r="A187" s="8"/>
      <c r="B187" s="33" t="s">
        <v>2568</v>
      </c>
      <c r="C187" s="29">
        <v>42</v>
      </c>
      <c r="D187" s="29">
        <v>19.18</v>
      </c>
      <c r="E187" s="32">
        <v>870.75620000000004</v>
      </c>
      <c r="F187" s="32">
        <v>870.75450000000001</v>
      </c>
      <c r="G187" s="31">
        <f t="shared" si="6"/>
        <v>1.9523298473082971</v>
      </c>
      <c r="H187" s="32">
        <v>875.71010000000001</v>
      </c>
      <c r="I187" s="60">
        <v>875.70989999999995</v>
      </c>
      <c r="J187" s="31">
        <f t="shared" si="7"/>
        <v>0.22838613570942015</v>
      </c>
      <c r="K187" s="2">
        <v>575.50340000000006</v>
      </c>
      <c r="L187" s="2">
        <v>573.48770000000002</v>
      </c>
      <c r="M187" s="2">
        <v>597.48770000000002</v>
      </c>
    </row>
    <row r="188" spans="1:13" ht="15.3" x14ac:dyDescent="0.55000000000000004">
      <c r="A188" s="1" t="s">
        <v>2569</v>
      </c>
      <c r="B188" s="33" t="s">
        <v>2570</v>
      </c>
      <c r="C188" s="29">
        <v>51</v>
      </c>
      <c r="D188" s="29">
        <v>20.97</v>
      </c>
      <c r="E188" s="32">
        <v>892.83720000000005</v>
      </c>
      <c r="F188" s="32">
        <v>892.83280000000002</v>
      </c>
      <c r="G188" s="31">
        <f t="shared" si="6"/>
        <v>4.9281343606914731</v>
      </c>
      <c r="H188" s="32">
        <v>897.7885</v>
      </c>
      <c r="I188" s="60">
        <v>897.78819999999996</v>
      </c>
      <c r="J188" s="31">
        <f t="shared" si="7"/>
        <v>0.33415453671409434</v>
      </c>
      <c r="K188" s="2">
        <v>591.53470000000004</v>
      </c>
      <c r="L188" s="2">
        <v>593.55029999999999</v>
      </c>
      <c r="M188" s="2">
        <v>605.55029999999999</v>
      </c>
    </row>
    <row r="189" spans="1:13" ht="15.3" x14ac:dyDescent="0.55000000000000004">
      <c r="A189" s="29" t="s">
        <v>2571</v>
      </c>
      <c r="B189" s="33" t="s">
        <v>2572</v>
      </c>
      <c r="C189" s="29">
        <v>49</v>
      </c>
      <c r="D189" s="29">
        <v>20.53</v>
      </c>
      <c r="E189" s="32">
        <v>890.82140000000004</v>
      </c>
      <c r="F189" s="32">
        <v>890.81709999999998</v>
      </c>
      <c r="G189" s="31">
        <f t="shared" si="6"/>
        <v>4.8270290276842243</v>
      </c>
      <c r="H189" s="32">
        <v>895.77449999999999</v>
      </c>
      <c r="I189" s="60">
        <v>895.77250000000004</v>
      </c>
      <c r="J189" s="31">
        <f t="shared" si="7"/>
        <v>2.2327097560515714</v>
      </c>
      <c r="K189" s="2">
        <v>591.53470000000004</v>
      </c>
      <c r="L189" s="2">
        <v>591.53470000000004</v>
      </c>
      <c r="M189" s="2">
        <v>603.53470000000004</v>
      </c>
    </row>
    <row r="190" spans="1:13" ht="15.3" x14ac:dyDescent="0.55000000000000004">
      <c r="A190" s="8" t="s">
        <v>2573</v>
      </c>
      <c r="B190" s="33" t="s">
        <v>2574</v>
      </c>
      <c r="C190" s="29">
        <v>47</v>
      </c>
      <c r="D190" s="29">
        <v>20.18</v>
      </c>
      <c r="E190" s="32">
        <v>888.8057</v>
      </c>
      <c r="F190" s="32">
        <v>888.80150000000003</v>
      </c>
      <c r="G190" s="31">
        <f t="shared" si="6"/>
        <v>4.725464572200762</v>
      </c>
      <c r="H190" s="32">
        <v>893.7586</v>
      </c>
      <c r="I190" s="60">
        <v>893.75689999999997</v>
      </c>
      <c r="J190" s="31">
        <f t="shared" si="7"/>
        <v>1.9020832175147544</v>
      </c>
      <c r="K190" s="2">
        <v>589.51900000000001</v>
      </c>
      <c r="L190" s="2">
        <v>589.51900000000001</v>
      </c>
      <c r="M190" s="2">
        <v>603.53470000000004</v>
      </c>
    </row>
    <row r="191" spans="1:13" ht="15.3" x14ac:dyDescent="0.55000000000000004">
      <c r="A191" s="8"/>
      <c r="B191" s="33" t="s">
        <v>2575</v>
      </c>
      <c r="C191" s="29">
        <v>47</v>
      </c>
      <c r="D191" s="29">
        <v>20.18</v>
      </c>
      <c r="E191" s="32">
        <v>888.8057</v>
      </c>
      <c r="F191" s="32">
        <v>888.80150000000003</v>
      </c>
      <c r="G191" s="31">
        <f t="shared" si="6"/>
        <v>4.725464572200762</v>
      </c>
      <c r="H191" s="32">
        <v>893.7586</v>
      </c>
      <c r="I191" s="60">
        <v>893.75689999999997</v>
      </c>
      <c r="J191" s="31">
        <f t="shared" si="7"/>
        <v>1.9020832175147544</v>
      </c>
      <c r="K191" s="2">
        <v>589.51900000000001</v>
      </c>
      <c r="L191" s="2">
        <v>591.53470000000004</v>
      </c>
      <c r="M191" s="2">
        <v>601.51900000000001</v>
      </c>
    </row>
    <row r="192" spans="1:13" ht="15.3" x14ac:dyDescent="0.55000000000000004">
      <c r="A192" s="29" t="s">
        <v>2576</v>
      </c>
      <c r="B192" s="33" t="s">
        <v>2356</v>
      </c>
      <c r="C192" s="29">
        <v>54</v>
      </c>
      <c r="D192" s="29">
        <v>21.53</v>
      </c>
      <c r="E192" s="32">
        <v>908.86670000000004</v>
      </c>
      <c r="F192" s="32">
        <v>908.86410000000001</v>
      </c>
      <c r="G192" s="31">
        <f t="shared" si="6"/>
        <v>2.8607137194982921</v>
      </c>
      <c r="H192" s="32">
        <v>913.82399999999996</v>
      </c>
      <c r="I192" s="60">
        <v>913.81949999999995</v>
      </c>
      <c r="J192" s="31">
        <f t="shared" si="7"/>
        <v>4.9243860521769083</v>
      </c>
      <c r="K192" s="2" t="s">
        <v>2356</v>
      </c>
      <c r="L192" s="2" t="s">
        <v>2356</v>
      </c>
      <c r="M192" s="2" t="s">
        <v>2356</v>
      </c>
    </row>
    <row r="193" spans="1:13" ht="15.3" x14ac:dyDescent="0.55000000000000004">
      <c r="A193" s="8" t="s">
        <v>2577</v>
      </c>
      <c r="B193" s="33" t="s">
        <v>2578</v>
      </c>
      <c r="C193" s="29">
        <v>52</v>
      </c>
      <c r="D193" s="29">
        <v>21.09</v>
      </c>
      <c r="E193" s="32">
        <v>906.85220000000004</v>
      </c>
      <c r="F193" s="32">
        <v>906.84839999999997</v>
      </c>
      <c r="G193" s="31">
        <f t="shared" si="6"/>
        <v>4.1903365546758469</v>
      </c>
      <c r="H193" s="32">
        <v>911.8066</v>
      </c>
      <c r="I193" s="60">
        <v>911.80380000000002</v>
      </c>
      <c r="J193" s="31">
        <f t="shared" si="7"/>
        <v>3.0708360723866948</v>
      </c>
      <c r="K193" s="2">
        <v>577.51900000000001</v>
      </c>
      <c r="L193" s="2">
        <v>607.56600000000003</v>
      </c>
      <c r="M193" s="2">
        <v>633.58159999999998</v>
      </c>
    </row>
    <row r="194" spans="1:13" ht="15.3" x14ac:dyDescent="0.55000000000000004">
      <c r="A194" s="8"/>
      <c r="B194" s="33" t="s">
        <v>2579</v>
      </c>
      <c r="C194" s="29">
        <v>52</v>
      </c>
      <c r="D194" s="29">
        <v>21.16</v>
      </c>
      <c r="E194" s="32">
        <v>906.85220000000004</v>
      </c>
      <c r="F194" s="32">
        <v>906.84839999999997</v>
      </c>
      <c r="G194" s="31">
        <f t="shared" si="6"/>
        <v>4.1903365546758469</v>
      </c>
      <c r="H194" s="32">
        <v>911.8066</v>
      </c>
      <c r="I194" s="60">
        <v>911.80380000000002</v>
      </c>
      <c r="J194" s="31">
        <f t="shared" si="7"/>
        <v>3.0708360723866948</v>
      </c>
      <c r="K194" s="2">
        <v>607.56600000000003</v>
      </c>
      <c r="L194" s="2">
        <v>605.55029999999999</v>
      </c>
      <c r="M194" s="2">
        <v>605.55029999999999</v>
      </c>
    </row>
    <row r="195" spans="1:13" ht="15.3" x14ac:dyDescent="0.55000000000000004">
      <c r="A195" s="8"/>
      <c r="B195" s="33" t="s">
        <v>2580</v>
      </c>
      <c r="C195" s="29">
        <v>52</v>
      </c>
      <c r="D195" s="29">
        <v>21.09</v>
      </c>
      <c r="E195" s="32">
        <v>906.85220000000004</v>
      </c>
      <c r="F195" s="32">
        <v>906.84839999999997</v>
      </c>
      <c r="G195" s="31">
        <f t="shared" si="6"/>
        <v>4.1903365546758469</v>
      </c>
      <c r="H195" s="32">
        <v>911.8066</v>
      </c>
      <c r="I195" s="60">
        <v>911.80380000000002</v>
      </c>
      <c r="J195" s="31">
        <f t="shared" si="7"/>
        <v>3.0708360723866948</v>
      </c>
      <c r="K195" s="2">
        <v>605.55029999999999</v>
      </c>
      <c r="L195" s="2">
        <v>579.53470000000004</v>
      </c>
      <c r="M195" s="2">
        <v>633.58159999999998</v>
      </c>
    </row>
    <row r="196" spans="1:13" ht="15.3" x14ac:dyDescent="0.55000000000000004">
      <c r="A196" s="8" t="s">
        <v>2581</v>
      </c>
      <c r="B196" s="33" t="s">
        <v>2582</v>
      </c>
      <c r="C196" s="29">
        <v>50</v>
      </c>
      <c r="D196" s="29">
        <v>20.74</v>
      </c>
      <c r="E196" s="32">
        <v>904.83659999999998</v>
      </c>
      <c r="F196" s="32">
        <v>904.83280000000002</v>
      </c>
      <c r="G196" s="31">
        <f t="shared" ref="G196:G225" si="8">((E196-F196)/F196)*1000000</f>
        <v>4.1996709225788642</v>
      </c>
      <c r="H196" s="32">
        <v>909.79219999999998</v>
      </c>
      <c r="I196" s="60">
        <v>909.78819999999996</v>
      </c>
      <c r="J196" s="31">
        <f t="shared" si="7"/>
        <v>4.3966276986435959</v>
      </c>
      <c r="K196" s="2">
        <v>577.51900000000001</v>
      </c>
      <c r="L196" s="2">
        <v>605.55029999999999</v>
      </c>
      <c r="M196" s="2">
        <v>631.56600000000003</v>
      </c>
    </row>
    <row r="197" spans="1:13" ht="15.3" x14ac:dyDescent="0.55000000000000004">
      <c r="A197" s="8"/>
      <c r="B197" s="33" t="s">
        <v>2583</v>
      </c>
      <c r="C197" s="29">
        <v>50</v>
      </c>
      <c r="D197" s="29">
        <v>20.74</v>
      </c>
      <c r="E197" s="32">
        <v>904.83659999999998</v>
      </c>
      <c r="F197" s="32">
        <v>904.83280000000002</v>
      </c>
      <c r="G197" s="31">
        <f t="shared" si="8"/>
        <v>4.1996709225788642</v>
      </c>
      <c r="H197" s="32">
        <v>909.79219999999998</v>
      </c>
      <c r="I197" s="60">
        <v>909.78819999999996</v>
      </c>
      <c r="J197" s="31">
        <f t="shared" si="7"/>
        <v>4.3966276986435959</v>
      </c>
      <c r="K197" s="2">
        <v>603.53470000000004</v>
      </c>
      <c r="L197" s="2">
        <v>605.55029999999999</v>
      </c>
      <c r="M197" s="2">
        <v>605.55029999999999</v>
      </c>
    </row>
    <row r="198" spans="1:13" ht="15.3" x14ac:dyDescent="0.55000000000000004">
      <c r="A198" s="8" t="s">
        <v>2584</v>
      </c>
      <c r="B198" s="33" t="s">
        <v>2585</v>
      </c>
      <c r="C198" s="29">
        <v>48</v>
      </c>
      <c r="D198" s="30">
        <v>20.3</v>
      </c>
      <c r="E198" s="32">
        <v>902.82159999999999</v>
      </c>
      <c r="F198" s="32">
        <v>902.81709999999998</v>
      </c>
      <c r="G198" s="31">
        <f t="shared" si="8"/>
        <v>4.9843982795709962</v>
      </c>
      <c r="H198" s="32">
        <v>907.77689999999996</v>
      </c>
      <c r="I198" s="60">
        <v>907.77250000000004</v>
      </c>
      <c r="J198" s="31">
        <f t="shared" si="7"/>
        <v>4.8470294043041529</v>
      </c>
      <c r="K198" s="2">
        <v>603.53470000000004</v>
      </c>
      <c r="L198" s="2">
        <v>603.53470000000004</v>
      </c>
      <c r="M198" s="2">
        <v>603.53470000000004</v>
      </c>
    </row>
    <row r="199" spans="1:13" ht="15.3" x14ac:dyDescent="0.55000000000000004">
      <c r="A199" s="8"/>
      <c r="B199" s="33" t="s">
        <v>2586</v>
      </c>
      <c r="C199" s="29">
        <v>48</v>
      </c>
      <c r="D199" s="29">
        <v>20.39</v>
      </c>
      <c r="E199" s="32">
        <v>902.82159999999999</v>
      </c>
      <c r="F199" s="32">
        <v>902.81709999999998</v>
      </c>
      <c r="G199" s="31">
        <f t="shared" si="8"/>
        <v>4.9843982795709962</v>
      </c>
      <c r="H199" s="32">
        <v>907.77689999999996</v>
      </c>
      <c r="I199" s="60">
        <v>907.77250000000004</v>
      </c>
      <c r="J199" s="31">
        <f t="shared" si="7"/>
        <v>4.8470294043041529</v>
      </c>
      <c r="K199" s="2">
        <v>601.51900000000001</v>
      </c>
      <c r="L199" s="2">
        <v>605.55029999999999</v>
      </c>
      <c r="M199" s="2">
        <v>603.53470000000004</v>
      </c>
    </row>
    <row r="200" spans="1:13" ht="15.3" x14ac:dyDescent="0.55000000000000004">
      <c r="A200" s="8" t="s">
        <v>2587</v>
      </c>
      <c r="B200" s="33" t="s">
        <v>2588</v>
      </c>
      <c r="C200" s="29">
        <v>46</v>
      </c>
      <c r="D200" s="29">
        <v>19.95</v>
      </c>
      <c r="E200" s="32">
        <v>900.80560000000003</v>
      </c>
      <c r="F200" s="32">
        <v>900.80150000000003</v>
      </c>
      <c r="G200" s="31">
        <f t="shared" si="8"/>
        <v>4.5515021899874695</v>
      </c>
      <c r="H200" s="32">
        <v>905.76089999999999</v>
      </c>
      <c r="I200" s="60">
        <v>905.75689999999997</v>
      </c>
      <c r="J200" s="31">
        <f t="shared" si="7"/>
        <v>4.4161960013984984</v>
      </c>
      <c r="K200" s="2">
        <v>601.51900000000001</v>
      </c>
      <c r="L200" s="2">
        <v>603.53470000000004</v>
      </c>
      <c r="M200" s="2">
        <v>601.51900000000001</v>
      </c>
    </row>
    <row r="201" spans="1:13" ht="15.3" x14ac:dyDescent="0.55000000000000004">
      <c r="A201" s="8"/>
      <c r="B201" s="33" t="s">
        <v>2589</v>
      </c>
      <c r="C201" s="29">
        <v>46</v>
      </c>
      <c r="D201" s="29">
        <v>20.02</v>
      </c>
      <c r="E201" s="32">
        <v>900.80560000000003</v>
      </c>
      <c r="F201" s="32">
        <v>900.80150000000003</v>
      </c>
      <c r="G201" s="31">
        <f t="shared" si="8"/>
        <v>4.5515021899874695</v>
      </c>
      <c r="H201" s="32">
        <v>905.76089999999999</v>
      </c>
      <c r="I201" s="60">
        <v>905.75689999999997</v>
      </c>
      <c r="J201" s="31">
        <f t="shared" si="7"/>
        <v>4.4161960013984984</v>
      </c>
      <c r="K201" s="2">
        <v>599.50340000000006</v>
      </c>
      <c r="L201" s="2">
        <v>603.53470000000004</v>
      </c>
      <c r="M201" s="2">
        <v>603.53470000000004</v>
      </c>
    </row>
    <row r="202" spans="1:13" ht="15.3" x14ac:dyDescent="0.55000000000000004">
      <c r="A202" s="8"/>
      <c r="B202" s="33" t="s">
        <v>2590</v>
      </c>
      <c r="C202" s="29">
        <v>46</v>
      </c>
      <c r="D202" s="29">
        <v>20.02</v>
      </c>
      <c r="E202" s="32">
        <v>900.80560000000003</v>
      </c>
      <c r="F202" s="32">
        <v>900.80150000000003</v>
      </c>
      <c r="G202" s="31">
        <f t="shared" si="8"/>
        <v>4.5515021899874695</v>
      </c>
      <c r="H202" s="32">
        <v>905.76089999999999</v>
      </c>
      <c r="I202" s="60">
        <v>905.75689999999997</v>
      </c>
      <c r="J202" s="31">
        <f>((H202-I202)/I202)*1000000</f>
        <v>4.4161960013984984</v>
      </c>
      <c r="K202" s="2">
        <v>627.53470000000004</v>
      </c>
      <c r="L202" s="2">
        <v>627.53470000000004</v>
      </c>
      <c r="M202" s="2">
        <v>551.50340000000006</v>
      </c>
    </row>
    <row r="203" spans="1:13" ht="15.3" x14ac:dyDescent="0.55000000000000004">
      <c r="A203" s="8" t="s">
        <v>2591</v>
      </c>
      <c r="B203" s="33" t="s">
        <v>2592</v>
      </c>
      <c r="C203" s="29">
        <v>44</v>
      </c>
      <c r="D203" s="29">
        <v>19.53</v>
      </c>
      <c r="E203" s="32">
        <v>898.78859999999997</v>
      </c>
      <c r="F203" s="32">
        <v>898.78579999999999</v>
      </c>
      <c r="G203" s="31">
        <f t="shared" si="8"/>
        <v>3.1153140158414421</v>
      </c>
      <c r="H203" s="32">
        <v>903.74450000000002</v>
      </c>
      <c r="I203" s="60">
        <v>903.74120000000005</v>
      </c>
      <c r="J203" s="31">
        <f t="shared" si="7"/>
        <v>3.6514878374112412</v>
      </c>
      <c r="K203" s="2">
        <v>599.50340000000006</v>
      </c>
      <c r="L203" s="2">
        <v>601.51900000000001</v>
      </c>
      <c r="M203" s="2">
        <v>601.51900000000001</v>
      </c>
    </row>
    <row r="204" spans="1:13" ht="15.3" x14ac:dyDescent="0.55000000000000004">
      <c r="A204" s="8"/>
      <c r="B204" s="33" t="s">
        <v>2593</v>
      </c>
      <c r="C204" s="29">
        <v>44</v>
      </c>
      <c r="D204" s="29">
        <v>19.53</v>
      </c>
      <c r="E204" s="32">
        <v>898.78859999999997</v>
      </c>
      <c r="F204" s="32">
        <v>898.78579999999999</v>
      </c>
      <c r="G204" s="31">
        <f t="shared" si="8"/>
        <v>3.1153140158414421</v>
      </c>
      <c r="H204" s="32">
        <v>903.74450000000002</v>
      </c>
      <c r="I204" s="60">
        <v>903.74120000000005</v>
      </c>
      <c r="J204" s="31">
        <f t="shared" si="7"/>
        <v>3.6514878374112412</v>
      </c>
      <c r="K204" s="2">
        <v>599.50340000000006</v>
      </c>
      <c r="L204" s="2">
        <v>599.50340000000006</v>
      </c>
      <c r="M204" s="2">
        <v>603.53470000000004</v>
      </c>
    </row>
    <row r="205" spans="1:13" ht="15.3" x14ac:dyDescent="0.55000000000000004">
      <c r="A205" s="8"/>
      <c r="B205" s="33" t="s">
        <v>2594</v>
      </c>
      <c r="C205" s="29">
        <v>44</v>
      </c>
      <c r="D205" s="29">
        <v>19.53</v>
      </c>
      <c r="E205" s="32">
        <v>898.78859999999997</v>
      </c>
      <c r="F205" s="32">
        <v>898.78579999999999</v>
      </c>
      <c r="G205" s="31">
        <f t="shared" si="8"/>
        <v>3.1153140158414421</v>
      </c>
      <c r="H205" s="32">
        <v>903.74450000000002</v>
      </c>
      <c r="I205" s="60">
        <v>903.74120000000005</v>
      </c>
      <c r="J205" s="31">
        <f>((H205-I205)/I205)*1000000</f>
        <v>3.6514878374112412</v>
      </c>
      <c r="K205" s="2">
        <v>625.51900000000001</v>
      </c>
      <c r="L205" s="2">
        <v>599.50340000000006</v>
      </c>
      <c r="M205" s="2">
        <v>577.51900000000001</v>
      </c>
    </row>
    <row r="206" spans="1:13" ht="15.3" x14ac:dyDescent="0.55000000000000004">
      <c r="A206" s="8" t="s">
        <v>2595</v>
      </c>
      <c r="B206" s="33" t="s">
        <v>2596</v>
      </c>
      <c r="C206" s="29">
        <v>42</v>
      </c>
      <c r="D206" s="30">
        <v>19.100000000000001</v>
      </c>
      <c r="E206" s="32">
        <v>896.77419999999995</v>
      </c>
      <c r="F206" s="32">
        <v>896.77020000000005</v>
      </c>
      <c r="G206" s="31">
        <f t="shared" si="8"/>
        <v>4.4604515180203492</v>
      </c>
      <c r="H206" s="32">
        <v>901.72929999999997</v>
      </c>
      <c r="I206" s="60">
        <v>901.72559999999999</v>
      </c>
      <c r="J206" s="31">
        <f t="shared" si="7"/>
        <v>4.1032438249293568</v>
      </c>
      <c r="K206" s="2">
        <v>597.48770000000002</v>
      </c>
      <c r="L206" s="2">
        <v>599.50340000000006</v>
      </c>
      <c r="M206" s="2">
        <v>601.51900000000001</v>
      </c>
    </row>
    <row r="207" spans="1:13" ht="15.3" x14ac:dyDescent="0.55000000000000004">
      <c r="A207" s="8"/>
      <c r="B207" s="33" t="s">
        <v>2597</v>
      </c>
      <c r="C207" s="29">
        <v>42</v>
      </c>
      <c r="D207" s="30">
        <v>19.100000000000001</v>
      </c>
      <c r="E207" s="32">
        <v>896.77419999999995</v>
      </c>
      <c r="F207" s="32">
        <v>896.77020000000005</v>
      </c>
      <c r="G207" s="31">
        <f t="shared" si="8"/>
        <v>4.4604515180203492</v>
      </c>
      <c r="H207" s="32">
        <v>901.72929999999997</v>
      </c>
      <c r="I207" s="60">
        <v>901.72559999999999</v>
      </c>
      <c r="J207" s="31">
        <f>((H207-I207)/I207)*1000000</f>
        <v>4.1032438249293568</v>
      </c>
      <c r="K207" s="2">
        <v>575.50340000000006</v>
      </c>
      <c r="L207" s="2">
        <v>597.48770000000002</v>
      </c>
      <c r="M207" s="2">
        <v>625.51900000000001</v>
      </c>
    </row>
    <row r="208" spans="1:13" ht="15.3" x14ac:dyDescent="0.55000000000000004">
      <c r="A208" s="8"/>
      <c r="B208" s="33" t="s">
        <v>2598</v>
      </c>
      <c r="C208" s="29">
        <v>42</v>
      </c>
      <c r="D208" s="30">
        <v>19.100000000000001</v>
      </c>
      <c r="E208" s="32">
        <v>896.77419999999995</v>
      </c>
      <c r="F208" s="32">
        <v>896.77020000000005</v>
      </c>
      <c r="G208" s="31">
        <f t="shared" si="8"/>
        <v>4.4604515180203492</v>
      </c>
      <c r="H208" s="32">
        <v>901.72929999999997</v>
      </c>
      <c r="I208" s="60">
        <v>901.72559999999999</v>
      </c>
      <c r="J208" s="31">
        <f>((H208-I208)/I208)*1000000</f>
        <v>4.1032438249293568</v>
      </c>
      <c r="K208" s="2">
        <v>575.50340000000006</v>
      </c>
      <c r="L208" s="2">
        <v>599.50340000000006</v>
      </c>
      <c r="M208" s="2">
        <v>623.50340000000006</v>
      </c>
    </row>
    <row r="209" spans="1:13" ht="15.3" x14ac:dyDescent="0.55000000000000004">
      <c r="A209" s="29" t="s">
        <v>2599</v>
      </c>
      <c r="B209" s="33" t="s">
        <v>2600</v>
      </c>
      <c r="C209" s="29">
        <v>54</v>
      </c>
      <c r="D209" s="29">
        <v>21.43</v>
      </c>
      <c r="E209" s="32">
        <v>934.88300000000004</v>
      </c>
      <c r="F209" s="32">
        <v>934.87969999999996</v>
      </c>
      <c r="G209" s="31">
        <f t="shared" si="8"/>
        <v>3.5298659282912306</v>
      </c>
      <c r="H209" s="32">
        <v>939.83709999999996</v>
      </c>
      <c r="I209" s="60">
        <v>939.83510000000001</v>
      </c>
      <c r="J209" s="31">
        <f t="shared" si="7"/>
        <v>2.1280328857186821</v>
      </c>
      <c r="K209" s="2">
        <v>551.50340000000006</v>
      </c>
      <c r="L209" s="2">
        <v>661.61289999999997</v>
      </c>
      <c r="M209" s="2">
        <v>661.61289999999997</v>
      </c>
    </row>
    <row r="210" spans="1:13" ht="15.3" x14ac:dyDescent="0.55000000000000004">
      <c r="A210" s="8" t="s">
        <v>2601</v>
      </c>
      <c r="B210" s="33" t="s">
        <v>2602</v>
      </c>
      <c r="C210" s="29">
        <v>52</v>
      </c>
      <c r="D210" s="29">
        <v>21.08</v>
      </c>
      <c r="E210" s="32">
        <v>932.86800000000005</v>
      </c>
      <c r="F210" s="32">
        <v>932.86410000000001</v>
      </c>
      <c r="G210" s="31">
        <f t="shared" si="8"/>
        <v>4.1806732621013092</v>
      </c>
      <c r="H210" s="32">
        <v>937.82050000000004</v>
      </c>
      <c r="I210" s="60">
        <v>937.81949999999995</v>
      </c>
      <c r="J210" s="31">
        <f t="shared" si="7"/>
        <v>1.0663032706080862</v>
      </c>
      <c r="K210" s="2">
        <v>605.55029999999999</v>
      </c>
      <c r="L210" s="2">
        <v>633.58159999999998</v>
      </c>
      <c r="M210" s="2">
        <v>631.56600000000003</v>
      </c>
    </row>
    <row r="211" spans="1:13" ht="15.3" x14ac:dyDescent="0.55000000000000004">
      <c r="A211" s="8"/>
      <c r="B211" s="33" t="s">
        <v>2603</v>
      </c>
      <c r="C211" s="29">
        <v>52</v>
      </c>
      <c r="D211" s="29">
        <v>21.14</v>
      </c>
      <c r="E211" s="32">
        <v>932.86800000000005</v>
      </c>
      <c r="F211" s="32">
        <v>932.86410000000001</v>
      </c>
      <c r="G211" s="31">
        <f t="shared" si="8"/>
        <v>4.1806732621013092</v>
      </c>
      <c r="H211" s="32">
        <v>937.82050000000004</v>
      </c>
      <c r="I211" s="60">
        <v>937.81949999999995</v>
      </c>
      <c r="J211" s="31">
        <f t="shared" si="7"/>
        <v>1.0663032706080862</v>
      </c>
      <c r="K211" s="2">
        <v>575.50340000000006</v>
      </c>
      <c r="L211" s="2">
        <v>635.59730000000002</v>
      </c>
      <c r="M211" s="2">
        <v>659.59730000000002</v>
      </c>
    </row>
    <row r="212" spans="1:13" ht="15.3" x14ac:dyDescent="0.55000000000000004">
      <c r="A212" s="8"/>
      <c r="B212" s="33" t="s">
        <v>2604</v>
      </c>
      <c r="C212" s="29">
        <v>52</v>
      </c>
      <c r="D212" s="29">
        <v>21.08</v>
      </c>
      <c r="E212" s="32">
        <v>932.86800000000005</v>
      </c>
      <c r="F212" s="32">
        <v>932.86410000000001</v>
      </c>
      <c r="G212" s="31">
        <f t="shared" si="8"/>
        <v>4.1806732621013092</v>
      </c>
      <c r="H212" s="32">
        <v>937.82050000000004</v>
      </c>
      <c r="I212" s="60">
        <v>937.81949999999995</v>
      </c>
      <c r="J212" s="31">
        <f t="shared" si="7"/>
        <v>1.0663032706080862</v>
      </c>
      <c r="K212" s="2">
        <v>577.51900000000001</v>
      </c>
      <c r="L212" s="2">
        <v>633.58159999999998</v>
      </c>
      <c r="M212" s="2">
        <v>659.59730000000002</v>
      </c>
    </row>
    <row r="213" spans="1:13" ht="15.3" x14ac:dyDescent="0.55000000000000004">
      <c r="A213" s="1" t="s">
        <v>2605</v>
      </c>
      <c r="B213" s="33" t="s">
        <v>2606</v>
      </c>
      <c r="C213" s="29">
        <v>50</v>
      </c>
      <c r="D213" s="29">
        <v>20.66</v>
      </c>
      <c r="E213" s="32">
        <v>930.85109999999997</v>
      </c>
      <c r="F213" s="32">
        <v>930.84839999999997</v>
      </c>
      <c r="G213" s="31">
        <f t="shared" si="8"/>
        <v>2.9005797292065667</v>
      </c>
      <c r="H213" s="32">
        <v>935.80820000000006</v>
      </c>
      <c r="I213" s="60">
        <v>935.80380000000002</v>
      </c>
      <c r="J213" s="31">
        <f t="shared" si="7"/>
        <v>4.7018402789477642</v>
      </c>
      <c r="K213" s="2">
        <v>603.53470000000004</v>
      </c>
      <c r="L213" s="2">
        <v>631.56600000000003</v>
      </c>
      <c r="M213" s="2">
        <v>631.56600000000003</v>
      </c>
    </row>
    <row r="214" spans="1:13" ht="15.3" x14ac:dyDescent="0.55000000000000004">
      <c r="A214" s="8" t="s">
        <v>2607</v>
      </c>
      <c r="B214" s="33" t="s">
        <v>2608</v>
      </c>
      <c r="C214" s="29">
        <v>46</v>
      </c>
      <c r="D214" s="29">
        <v>20.16</v>
      </c>
      <c r="E214" s="32">
        <v>926.81870000000004</v>
      </c>
      <c r="F214" s="32">
        <v>926.81709999999998</v>
      </c>
      <c r="G214" s="31">
        <f t="shared" si="8"/>
        <v>1.7263384545377016</v>
      </c>
      <c r="H214" s="32">
        <v>931.77369999999996</v>
      </c>
      <c r="I214" s="60">
        <v>931.77250000000004</v>
      </c>
      <c r="J214" s="31">
        <f>((H214-I214)/I214)*1000000</f>
        <v>1.2878680149136716</v>
      </c>
      <c r="K214" s="2">
        <v>577.51900000000001</v>
      </c>
      <c r="L214" s="2">
        <v>653.55029999999999</v>
      </c>
      <c r="M214" s="2">
        <v>627.53470000000004</v>
      </c>
    </row>
    <row r="215" spans="1:13" ht="15.3" x14ac:dyDescent="0.55000000000000004">
      <c r="A215" s="8"/>
      <c r="B215" s="33" t="s">
        <v>2609</v>
      </c>
      <c r="C215" s="29">
        <v>46</v>
      </c>
      <c r="D215" s="29">
        <v>20.16</v>
      </c>
      <c r="E215" s="32">
        <v>926.81870000000004</v>
      </c>
      <c r="F215" s="32">
        <v>926.81709999999998</v>
      </c>
      <c r="G215" s="31">
        <f t="shared" si="8"/>
        <v>1.7263384545377016</v>
      </c>
      <c r="H215" s="32">
        <v>931.77369999999996</v>
      </c>
      <c r="I215" s="60">
        <v>931.77250000000004</v>
      </c>
      <c r="J215" s="31">
        <f>((H215-I215)/I215)*1000000</f>
        <v>1.2878680149136716</v>
      </c>
      <c r="K215" s="2">
        <v>605.55029999999999</v>
      </c>
      <c r="L215" s="2">
        <v>625.51900000000001</v>
      </c>
      <c r="M215" s="2">
        <v>627.53470000000004</v>
      </c>
    </row>
    <row r="216" spans="1:13" ht="15.3" x14ac:dyDescent="0.55000000000000004">
      <c r="A216" s="8"/>
      <c r="B216" s="33" t="s">
        <v>2610</v>
      </c>
      <c r="C216" s="29">
        <v>46</v>
      </c>
      <c r="D216" s="29">
        <v>20.16</v>
      </c>
      <c r="E216" s="32">
        <v>926.81870000000004</v>
      </c>
      <c r="F216" s="32">
        <v>926.81709999999998</v>
      </c>
      <c r="G216" s="31">
        <f t="shared" si="8"/>
        <v>1.7263384545377016</v>
      </c>
      <c r="H216" s="32">
        <v>931.77369999999996</v>
      </c>
      <c r="I216" s="60">
        <v>931.77250000000004</v>
      </c>
      <c r="J216" s="31">
        <f t="shared" si="7"/>
        <v>1.2878680149136716</v>
      </c>
      <c r="K216" s="2">
        <v>599.50340000000006</v>
      </c>
      <c r="L216" s="2">
        <v>629.55029999999999</v>
      </c>
      <c r="M216" s="2">
        <v>629.55029999999999</v>
      </c>
    </row>
    <row r="217" spans="1:13" ht="15.3" x14ac:dyDescent="0.55000000000000004">
      <c r="A217" s="8" t="s">
        <v>2611</v>
      </c>
      <c r="B217" s="33" t="s">
        <v>2612</v>
      </c>
      <c r="C217" s="29">
        <v>44</v>
      </c>
      <c r="D217" s="29">
        <v>19.72</v>
      </c>
      <c r="E217" s="32">
        <v>924.8057</v>
      </c>
      <c r="F217" s="32">
        <v>924.80150000000003</v>
      </c>
      <c r="G217" s="31">
        <f t="shared" si="8"/>
        <v>4.5415151251040307</v>
      </c>
      <c r="H217" s="32">
        <v>929.75990000000002</v>
      </c>
      <c r="I217" s="60">
        <v>929.75689999999997</v>
      </c>
      <c r="J217" s="31">
        <f t="shared" si="7"/>
        <v>3.226649891001343</v>
      </c>
      <c r="K217" s="2">
        <v>575.50340000000006</v>
      </c>
      <c r="L217" s="2">
        <v>627.53470000000004</v>
      </c>
      <c r="M217" s="2">
        <v>651.53470000000004</v>
      </c>
    </row>
    <row r="218" spans="1:13" ht="15.3" x14ac:dyDescent="0.55000000000000004">
      <c r="A218" s="8"/>
      <c r="B218" s="33" t="s">
        <v>2613</v>
      </c>
      <c r="C218" s="29">
        <v>44</v>
      </c>
      <c r="D218" s="29">
        <v>19.87</v>
      </c>
      <c r="E218" s="32">
        <v>924.8057</v>
      </c>
      <c r="F218" s="32">
        <v>924.80150000000003</v>
      </c>
      <c r="G218" s="31">
        <f t="shared" si="8"/>
        <v>4.5415151251040307</v>
      </c>
      <c r="H218" s="32">
        <v>929.75990000000002</v>
      </c>
      <c r="I218" s="60">
        <v>929.75689999999997</v>
      </c>
      <c r="J218" s="31">
        <f t="shared" si="7"/>
        <v>3.226649891001343</v>
      </c>
      <c r="K218" s="2">
        <v>603.53470000000004</v>
      </c>
      <c r="L218" s="2">
        <v>627.53470000000004</v>
      </c>
      <c r="M218" s="2">
        <v>623.50340000000006</v>
      </c>
    </row>
    <row r="219" spans="1:13" ht="15.3" x14ac:dyDescent="0.55000000000000004">
      <c r="A219" s="8"/>
      <c r="B219" s="33" t="s">
        <v>2614</v>
      </c>
      <c r="C219" s="29">
        <v>44</v>
      </c>
      <c r="D219" s="29">
        <v>19.72</v>
      </c>
      <c r="E219" s="32">
        <v>924.8057</v>
      </c>
      <c r="F219" s="32">
        <v>924.80150000000003</v>
      </c>
      <c r="G219" s="31">
        <f t="shared" si="8"/>
        <v>4.5415151251040307</v>
      </c>
      <c r="H219" s="32">
        <v>929.75990000000002</v>
      </c>
      <c r="I219" s="60">
        <v>929.75689999999997</v>
      </c>
      <c r="J219" s="31">
        <f t="shared" si="7"/>
        <v>3.226649891001343</v>
      </c>
      <c r="K219" s="2">
        <v>577.51900000000001</v>
      </c>
      <c r="L219" s="2">
        <v>625.51900000000001</v>
      </c>
      <c r="M219" s="2">
        <v>651.53470000000004</v>
      </c>
    </row>
    <row r="220" spans="1:13" ht="15.3" x14ac:dyDescent="0.55000000000000004">
      <c r="A220" s="1" t="s">
        <v>2615</v>
      </c>
      <c r="B220" s="33" t="s">
        <v>2616</v>
      </c>
      <c r="C220" s="29">
        <v>42</v>
      </c>
      <c r="D220" s="29">
        <v>19.36</v>
      </c>
      <c r="E220" s="32">
        <v>922.7903</v>
      </c>
      <c r="F220" s="32">
        <v>922.78579999999999</v>
      </c>
      <c r="G220" s="31">
        <f t="shared" si="8"/>
        <v>4.8765379788107666</v>
      </c>
      <c r="H220" s="32">
        <v>927.74570000000006</v>
      </c>
      <c r="I220" s="60">
        <v>927.74120000000005</v>
      </c>
      <c r="J220" s="31">
        <f t="shared" si="7"/>
        <v>4.8504906325247559</v>
      </c>
      <c r="K220" s="2">
        <v>649.51900000000001</v>
      </c>
      <c r="L220" s="2">
        <v>625.51900000000001</v>
      </c>
      <c r="M220" s="2">
        <v>649.51900000000001</v>
      </c>
    </row>
    <row r="221" spans="1:13" ht="15.3" x14ac:dyDescent="0.55000000000000004">
      <c r="A221" s="29" t="s">
        <v>2617</v>
      </c>
      <c r="B221" s="33" t="s">
        <v>2618</v>
      </c>
      <c r="C221" s="29">
        <v>40</v>
      </c>
      <c r="D221" s="29">
        <v>18.920000000000002</v>
      </c>
      <c r="E221" s="32">
        <v>920.76940000000002</v>
      </c>
      <c r="F221" s="32">
        <v>920.77020000000005</v>
      </c>
      <c r="G221" s="31">
        <f t="shared" si="8"/>
        <v>-0.8688378490382912</v>
      </c>
      <c r="H221" s="32">
        <v>925.72919999999999</v>
      </c>
      <c r="I221" s="60">
        <v>925.72559999999999</v>
      </c>
      <c r="J221" s="31">
        <f t="shared" si="7"/>
        <v>3.8888413586119044</v>
      </c>
      <c r="K221" s="2">
        <v>575.50340000000006</v>
      </c>
      <c r="L221" s="2">
        <v>623.50340000000006</v>
      </c>
      <c r="M221" s="2">
        <v>647.50340000000006</v>
      </c>
    </row>
    <row r="222" spans="1:13" ht="15.3" x14ac:dyDescent="0.55000000000000004">
      <c r="A222" s="8" t="s">
        <v>2619</v>
      </c>
      <c r="B222" s="33" t="s">
        <v>2620</v>
      </c>
      <c r="C222" s="29">
        <v>54</v>
      </c>
      <c r="D222" s="29">
        <v>21.41</v>
      </c>
      <c r="E222" s="32">
        <v>960.89890000000003</v>
      </c>
      <c r="F222" s="32">
        <v>960.8954</v>
      </c>
      <c r="G222" s="31">
        <f t="shared" si="8"/>
        <v>3.6424360029519578</v>
      </c>
      <c r="H222" s="32">
        <v>965.851</v>
      </c>
      <c r="I222" s="60">
        <v>965.85080000000005</v>
      </c>
      <c r="J222" s="31">
        <f t="shared" si="7"/>
        <v>0.20707131986616967</v>
      </c>
      <c r="K222" s="2">
        <v>603.53470000000004</v>
      </c>
      <c r="L222" s="2">
        <v>661.61289999999997</v>
      </c>
      <c r="M222" s="2">
        <v>661.61289999999997</v>
      </c>
    </row>
    <row r="223" spans="1:13" ht="15.3" x14ac:dyDescent="0.55000000000000004">
      <c r="A223" s="8"/>
      <c r="B223" s="33" t="s">
        <v>2621</v>
      </c>
      <c r="C223" s="29">
        <v>54</v>
      </c>
      <c r="D223" s="29">
        <v>21.35</v>
      </c>
      <c r="E223" s="32">
        <v>960.89890000000003</v>
      </c>
      <c r="F223" s="32">
        <v>960.8954</v>
      </c>
      <c r="G223" s="31">
        <f t="shared" si="8"/>
        <v>3.6424360029519578</v>
      </c>
      <c r="H223" s="32">
        <v>965.851</v>
      </c>
      <c r="I223" s="60">
        <v>965.85080000000005</v>
      </c>
      <c r="J223" s="31">
        <f t="shared" si="7"/>
        <v>0.20707131986616967</v>
      </c>
      <c r="K223" s="2">
        <v>575.50340000000006</v>
      </c>
      <c r="L223" s="2">
        <v>687.62860000000001</v>
      </c>
      <c r="M223" s="2">
        <v>663.62860000000001</v>
      </c>
    </row>
    <row r="224" spans="1:13" ht="15.3" x14ac:dyDescent="0.55000000000000004">
      <c r="A224" s="8"/>
      <c r="B224" s="33" t="s">
        <v>2622</v>
      </c>
      <c r="C224" s="29">
        <v>54</v>
      </c>
      <c r="D224" s="29">
        <v>21.35</v>
      </c>
      <c r="E224" s="32">
        <v>960.89890000000003</v>
      </c>
      <c r="F224" s="32">
        <v>960.8954</v>
      </c>
      <c r="G224" s="31">
        <f t="shared" si="8"/>
        <v>3.6424360029519578</v>
      </c>
      <c r="H224" s="32">
        <v>965.851</v>
      </c>
      <c r="I224" s="60">
        <v>965.85080000000005</v>
      </c>
      <c r="J224" s="31">
        <f>((H224-I224)/I224)*1000000</f>
        <v>0.20707131986616967</v>
      </c>
      <c r="K224" s="2">
        <v>577.51900000000001</v>
      </c>
      <c r="L224" s="2">
        <v>661.61289999999997</v>
      </c>
      <c r="M224" s="2">
        <v>687.62860000000001</v>
      </c>
    </row>
    <row r="225" spans="1:13" ht="15.3" x14ac:dyDescent="0.55000000000000004">
      <c r="A225" s="29" t="s">
        <v>2623</v>
      </c>
      <c r="B225" s="33" t="s">
        <v>2624</v>
      </c>
      <c r="C225" s="29">
        <v>52</v>
      </c>
      <c r="D225" s="29">
        <v>21.13</v>
      </c>
      <c r="E225" s="32">
        <v>958.8777</v>
      </c>
      <c r="F225" s="32">
        <v>958.87969999999996</v>
      </c>
      <c r="G225" s="31">
        <f t="shared" si="8"/>
        <v>-2.0857673803634662</v>
      </c>
      <c r="H225" s="32">
        <v>963.83839999999998</v>
      </c>
      <c r="I225" s="60">
        <v>963.83510000000001</v>
      </c>
      <c r="J225" s="31">
        <f>((H225-I225)/I225)*1000000</f>
        <v>3.4238221869772536</v>
      </c>
      <c r="K225" s="2">
        <v>601.51900000000001</v>
      </c>
      <c r="L225" s="2">
        <v>661.61289999999997</v>
      </c>
      <c r="M225" s="2">
        <v>659.59730000000002</v>
      </c>
    </row>
    <row r="226" spans="1:13" ht="15.3" x14ac:dyDescent="0.55000000000000004">
      <c r="A226" s="61"/>
      <c r="B226" s="61"/>
      <c r="C226" s="61"/>
      <c r="D226" s="63" t="s">
        <v>2625</v>
      </c>
      <c r="E226" s="63">
        <f>COUNT(E132:E225)</f>
        <v>94</v>
      </c>
      <c r="F226" s="61"/>
      <c r="G226" s="61"/>
      <c r="H226" s="61"/>
      <c r="I226" s="61"/>
      <c r="J226" s="61"/>
      <c r="K226" s="61"/>
      <c r="L226" s="61"/>
      <c r="M226" s="61"/>
    </row>
    <row r="227" spans="1:13" ht="15.3" x14ac:dyDescent="0.55000000000000004">
      <c r="A227" s="62"/>
      <c r="B227" s="61"/>
      <c r="C227" s="61"/>
      <c r="D227" s="61"/>
      <c r="E227" s="61"/>
      <c r="F227" s="61"/>
      <c r="G227" s="61"/>
      <c r="H227" s="61"/>
      <c r="I227" s="61"/>
      <c r="J227" s="61"/>
      <c r="K227" s="61"/>
      <c r="L227" s="61"/>
      <c r="M227" s="61"/>
    </row>
  </sheetData>
  <mergeCells count="88">
    <mergeCell ref="A217:A219"/>
    <mergeCell ref="A222:A224"/>
    <mergeCell ref="A198:A199"/>
    <mergeCell ref="A200:A202"/>
    <mergeCell ref="A203:A205"/>
    <mergeCell ref="A206:A208"/>
    <mergeCell ref="A210:A212"/>
    <mergeCell ref="A214:A216"/>
    <mergeCell ref="A181:A182"/>
    <mergeCell ref="A183:A185"/>
    <mergeCell ref="A186:A187"/>
    <mergeCell ref="A190:A191"/>
    <mergeCell ref="A193:A195"/>
    <mergeCell ref="A196:A197"/>
    <mergeCell ref="A160:A161"/>
    <mergeCell ref="A162:A164"/>
    <mergeCell ref="A165:A167"/>
    <mergeCell ref="A168:A170"/>
    <mergeCell ref="A174:A175"/>
    <mergeCell ref="A179:A180"/>
    <mergeCell ref="A136:A137"/>
    <mergeCell ref="A140:A141"/>
    <mergeCell ref="A142:A144"/>
    <mergeCell ref="A146:A147"/>
    <mergeCell ref="A148:A150"/>
    <mergeCell ref="A151:A153"/>
    <mergeCell ref="A129:M129"/>
    <mergeCell ref="A130:A131"/>
    <mergeCell ref="B130:B131"/>
    <mergeCell ref="C130:C131"/>
    <mergeCell ref="D130:D131"/>
    <mergeCell ref="E130:G130"/>
    <mergeCell ref="H130:J130"/>
    <mergeCell ref="A102:A104"/>
    <mergeCell ref="A105:A106"/>
    <mergeCell ref="A111:H111"/>
    <mergeCell ref="A112:A113"/>
    <mergeCell ref="B112:B113"/>
    <mergeCell ref="C112:C113"/>
    <mergeCell ref="D112:D113"/>
    <mergeCell ref="E112:G112"/>
    <mergeCell ref="A83:A84"/>
    <mergeCell ref="A85:A87"/>
    <mergeCell ref="A93:A94"/>
    <mergeCell ref="A95:A97"/>
    <mergeCell ref="A98:A99"/>
    <mergeCell ref="A100:A101"/>
    <mergeCell ref="A71:A72"/>
    <mergeCell ref="A73:A74"/>
    <mergeCell ref="A77:J77"/>
    <mergeCell ref="A78:A79"/>
    <mergeCell ref="B78:B79"/>
    <mergeCell ref="C78:C79"/>
    <mergeCell ref="D78:D79"/>
    <mergeCell ref="E78:G78"/>
    <mergeCell ref="A55:A56"/>
    <mergeCell ref="A57:A58"/>
    <mergeCell ref="A59:A60"/>
    <mergeCell ref="A61:A62"/>
    <mergeCell ref="A63:A66"/>
    <mergeCell ref="A69:A70"/>
    <mergeCell ref="A52:K52"/>
    <mergeCell ref="A53:A54"/>
    <mergeCell ref="B53:B54"/>
    <mergeCell ref="C53:C54"/>
    <mergeCell ref="D53:D54"/>
    <mergeCell ref="E53:G53"/>
    <mergeCell ref="A42:J42"/>
    <mergeCell ref="A43:A44"/>
    <mergeCell ref="B43:B44"/>
    <mergeCell ref="C43:C44"/>
    <mergeCell ref="D43:D44"/>
    <mergeCell ref="E43:G43"/>
    <mergeCell ref="H43:J43"/>
    <mergeCell ref="A14:A15"/>
    <mergeCell ref="A18:A19"/>
    <mergeCell ref="A26:I26"/>
    <mergeCell ref="A27:A28"/>
    <mergeCell ref="B27:B28"/>
    <mergeCell ref="C27:C28"/>
    <mergeCell ref="D27:D28"/>
    <mergeCell ref="E27:G27"/>
    <mergeCell ref="A4:G4"/>
    <mergeCell ref="A5:A6"/>
    <mergeCell ref="B5:B6"/>
    <mergeCell ref="C5:C6"/>
    <mergeCell ref="D5:D6"/>
    <mergeCell ref="E5:G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492 lipids MSDial format</vt:lpstr>
      <vt:lpstr>182 Holpie manuscript SI format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Carlos Canez Quijada</dc:creator>
  <cp:lastModifiedBy>Carlos Canez Quijada</cp:lastModifiedBy>
  <dcterms:created xsi:type="dcterms:W3CDTF">2026-08-26T01:58:04Z</dcterms:created>
  <dcterms:modified xsi:type="dcterms:W3CDTF">2026-10-13T18:20:23Z</dcterms:modified>
</cp:coreProperties>
</file>